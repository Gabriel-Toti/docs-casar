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  <sheet state="visible" name="Cronograma" sheetId="6" r:id="rId9"/>
  </sheets>
  <definedNames>
    <definedName name="FCAMB">Fatores!$G$36</definedName>
    <definedName localSheetId="2" name="_Toc112831755">UC!$B$13</definedName>
    <definedName name="ITEC">Fatores!$E$22</definedName>
    <definedName name="PTA">Atores!$D$10</definedName>
    <definedName name="Atores">Atores!$B$13:$C$17</definedName>
    <definedName name="CUC">UC!$D$13:$D$38</definedName>
    <definedName name="FCTEC">Fatores!$E$22</definedName>
    <definedName name="UC">UC!$A$12:$C$38</definedName>
    <definedName name="PTUC">UC!$D$10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Ator Simples:
Representa um outro sistema com Interface definida de Programas.</t>
      </text>
    </comment>
    <comment authorId="0" ref="B8">
      <text>
        <t xml:space="preserve">Ator Médio:
Representa um outro sistema que  interage através de protocolos ou quando há interação humana através de terminal.</t>
      </text>
    </comment>
    <comment authorId="0" ref="B9">
      <text>
        <t xml:space="preserve">Ator Complexo:
É uma pessoa que interage através de Interface
Gráfica ou página Web.</t>
      </text>
    </comment>
    <comment authorId="0" ref="B13">
      <text>
        <t xml:space="preserve">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UC Simples:
Tem até 3 Entidades</t>
      </text>
    </comment>
    <comment authorId="0" ref="B8">
      <text>
        <t xml:space="preserve">UC Médio:
Tem de 3 a 5 Entidades.</t>
      </text>
    </comment>
    <comment authorId="0" ref="B9">
      <text>
        <t xml:space="preserve">UC Complexo:
Acima de 5 entidades.</t>
      </text>
    </comment>
    <comment authorId="0" ref="D12">
      <text>
        <t xml:space="preserve">Fórmula para Identificar de forma automática a complexidade do UC:
=SE(C13&lt;4;"Simples";(SE(C13&gt;7;"Complexo";"Médio")))</t>
      </text>
    </comment>
  </commentList>
</comments>
</file>

<file path=xl/sharedStrings.xml><?xml version="1.0" encoding="utf-8"?>
<sst xmlns="http://schemas.openxmlformats.org/spreadsheetml/2006/main" count="240" uniqueCount="210">
  <si>
    <t>Estimativa de Esforço de Projeto baseado em                                                                Pontos de Caso de Uso (vs 1.1)</t>
  </si>
  <si>
    <t>Projeto:</t>
  </si>
  <si>
    <t>Casar</t>
  </si>
  <si>
    <t>Responsável:</t>
  </si>
  <si>
    <t>Gabriel Carneiro Roque Toti Silva</t>
  </si>
  <si>
    <t>Data:</t>
  </si>
  <si>
    <t>Vs. do Documento:</t>
  </si>
  <si>
    <t>1.0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</si>
  <si>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</si>
  <si>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</si>
  <si>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</si>
  <si>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</si>
  <si>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</si>
  <si>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</si>
  <si>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</si>
  <si>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</si>
  <si>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</si>
  <si>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</si>
  <si>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</si>
  <si>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</si>
  <si>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</si>
  <si>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</si>
  <si>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</si>
  <si>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</si>
  <si>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</si>
  <si>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</si>
  <si>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</si>
  <si>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</si>
  <si>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</si>
  <si>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</si>
  <si>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</si>
  <si>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</si>
  <si>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</si>
  <si>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</si>
  <si>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</si>
  <si>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Descrição</t>
  </si>
  <si>
    <t>Simples</t>
  </si>
  <si>
    <t>Ator interage com o sistema através de uma API</t>
  </si>
  <si>
    <t>Médio</t>
  </si>
  <si>
    <t>Ator interage com o sistema através de um Protocolo de Comunicação.</t>
  </si>
  <si>
    <t>Complexo</t>
  </si>
  <si>
    <t>Ator interage com o sistema através de uma Interface</t>
  </si>
  <si>
    <t>Peso Total Atores =</t>
  </si>
  <si>
    <t>Atores</t>
  </si>
  <si>
    <t>Complexidade</t>
  </si>
  <si>
    <t>Usuário Representante</t>
  </si>
  <si>
    <t>Usuário Comum</t>
  </si>
  <si>
    <t>Sistema de Autenticação Social</t>
  </si>
  <si>
    <t>Sistema de Notificação</t>
  </si>
  <si>
    <t>Encryption Key Manager</t>
  </si>
  <si>
    <t>Gateway de Pagamentos</t>
  </si>
  <si>
    <t>Total</t>
  </si>
  <si>
    <t>Casos de Uso do Projeto</t>
  </si>
  <si>
    <t>Complexidade do Caso de Uso</t>
  </si>
  <si>
    <t>Qt. de UC</t>
  </si>
  <si>
    <t>Utiliza apenas uma entidade no banco de dados</t>
  </si>
  <si>
    <t>Utiliza duas entidades no banco de dados.</t>
  </si>
  <si>
    <t>Utiliza 3 ou mais entidades no banco de dados.</t>
  </si>
  <si>
    <t>Peso Total UC</t>
  </si>
  <si>
    <t>ID</t>
  </si>
  <si>
    <t>Nome do RFC ou RFS</t>
  </si>
  <si>
    <t>Nro Entidades</t>
  </si>
  <si>
    <t>Discriminar Transações(opcional)</t>
  </si>
  <si>
    <t>[RFS01] Cadastrar Usuário</t>
  </si>
  <si>
    <t>Usuario</t>
  </si>
  <si>
    <t>[RFS02] Editar Usuário</t>
  </si>
  <si>
    <t>[RFS03] Excluir Usuário</t>
  </si>
  <si>
    <t>Usuario, Imóvel e Anúncio</t>
  </si>
  <si>
    <t>[RFS04] Cadastrar Preferências</t>
  </si>
  <si>
    <t>Usuário e Preferências</t>
  </si>
  <si>
    <t>[RFS05] Editar Preferências</t>
  </si>
  <si>
    <t>Preferências</t>
  </si>
  <si>
    <t>[RFS06] Excluir Preferências</t>
  </si>
  <si>
    <t>[RFS07] Gerar compatibilização automática</t>
  </si>
  <si>
    <t>Usuário, Imóvel, Preferências, Anúncios</t>
  </si>
  <si>
    <t>[RFS08] Cadastrar Imóvel</t>
  </si>
  <si>
    <t>Usuário, Imóvel, Preferências</t>
  </si>
  <si>
    <t>[RFS09] Consultar Imóvel</t>
  </si>
  <si>
    <t>[RFS10] Editar Imóvel</t>
  </si>
  <si>
    <t>Imóvel</t>
  </si>
  <si>
    <t>[RFS11] Excluir Imóvel</t>
  </si>
  <si>
    <t>Usuário, Imóvel, Anúncio</t>
  </si>
  <si>
    <t>[RFS12] Cadastrar Anúncio</t>
  </si>
  <si>
    <t>Imóvel, Anúncio</t>
  </si>
  <si>
    <t>[RFS13] Consultar Anúncio</t>
  </si>
  <si>
    <t>[RFS14] Editar Anúncio</t>
  </si>
  <si>
    <t>[RFS15] Excluir Anúncio</t>
  </si>
  <si>
    <t>Imóvel, Anúncio, Usuário</t>
  </si>
  <si>
    <t>[RFS16] Realizar Match</t>
  </si>
  <si>
    <t>Usuário, Anúncio, Imóvel</t>
  </si>
  <si>
    <t>[RFS17] Criar Nova Senha</t>
  </si>
  <si>
    <t>Usuário</t>
  </si>
  <si>
    <t>[RFS18] Informar e-mail</t>
  </si>
  <si>
    <t>[RFS19] Formulário de Pagamento</t>
  </si>
  <si>
    <t>Fatores de Complexidade</t>
  </si>
  <si>
    <t>Influência Tecnológica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</si>
  <si>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</si>
  <si>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</si>
  <si>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</si>
  <si>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</si>
  <si>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</si>
  <si>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</si>
  <si>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</si>
  <si>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</si>
  <si>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</si>
  <si>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</si>
  <si>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</si>
  <si>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</si>
  <si>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</si>
  <si>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</si>
  <si>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</si>
  <si>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</si>
  <si>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</si>
  <si>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</si>
  <si>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</si>
  <si>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</si>
  <si>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</si>
  <si>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</si>
  <si>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</si>
  <si>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</si>
  <si>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</si>
  <si>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</si>
  <si>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</si>
  <si>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</si>
  <si>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</si>
  <si>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</si>
  <si>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</si>
  <si>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</si>
  <si>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</si>
  <si>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</si>
  <si>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</si>
  <si>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</si>
  <si>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</si>
  <si>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</si>
  <si>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</si>
  <si>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</si>
  <si>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</si>
  <si>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</si>
  <si>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</si>
  <si>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</si>
  <si>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</si>
  <si>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</si>
  <si>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</si>
  <si>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</si>
  <si>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</si>
  <si>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</si>
  <si>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</si>
  <si>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</si>
  <si>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</si>
  <si>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</si>
  <si>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</si>
  <si>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</si>
  <si>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</si>
  <si>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</si>
  <si>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</si>
  <si>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</si>
  <si>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</si>
  <si>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</si>
  <si>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</si>
  <si>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</si>
  <si>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</si>
  <si>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Atividade</t>
  </si>
  <si>
    <t>Trabalho Estimado</t>
  </si>
  <si>
    <t>Duração Estimada</t>
  </si>
  <si>
    <t>Duração Real</t>
  </si>
  <si>
    <t>Predessessor</t>
  </si>
  <si>
    <t>Recursos</t>
  </si>
  <si>
    <t>Status</t>
  </si>
  <si>
    <t>Análise</t>
  </si>
  <si>
    <t>Projeto</t>
  </si>
  <si>
    <t>Implementar RFS01</t>
  </si>
  <si>
    <t>Implementar RFS02</t>
  </si>
  <si>
    <t>Implementar RFS03</t>
  </si>
  <si>
    <t>Implementar RFS04</t>
  </si>
  <si>
    <t>Implementar RFS05</t>
  </si>
  <si>
    <t>Implementar RFS06</t>
  </si>
  <si>
    <t>Implementar RFS08</t>
  </si>
  <si>
    <t>Implementar RFS09</t>
  </si>
  <si>
    <t>Implementar RFS10</t>
  </si>
  <si>
    <t>Implementar RFS11</t>
  </si>
  <si>
    <t>Implementar RFS12</t>
  </si>
  <si>
    <t>Implementar RFS13</t>
  </si>
  <si>
    <t>Implementar RFS14</t>
  </si>
  <si>
    <t>Implementar RFS15</t>
  </si>
  <si>
    <t>Implementar RFS07</t>
  </si>
  <si>
    <t>5;8.11;14</t>
  </si>
  <si>
    <t>Implementar RFS16</t>
  </si>
  <si>
    <t>Implementar RFS17</t>
  </si>
  <si>
    <t>Implementar RFS18</t>
  </si>
  <si>
    <t>Implementar RFS19</t>
  </si>
  <si>
    <t>Implementar RFS20</t>
  </si>
  <si>
    <t>Testar RFS01</t>
  </si>
  <si>
    <t>Testar RFS02</t>
  </si>
  <si>
    <t>Testar RFS03</t>
  </si>
  <si>
    <t>Testar RFS04</t>
  </si>
  <si>
    <t>Testar RFS05</t>
  </si>
  <si>
    <t>Testar RFS06</t>
  </si>
  <si>
    <t>Testar RFS07</t>
  </si>
  <si>
    <t>Testar RFS08</t>
  </si>
  <si>
    <t>Testar RFS09</t>
  </si>
  <si>
    <t>Testar RFS10</t>
  </si>
  <si>
    <t>Testar RFS11</t>
  </si>
  <si>
    <t>Testar RFS12</t>
  </si>
  <si>
    <t>Testar RFS13</t>
  </si>
  <si>
    <t>Testar RFS14</t>
  </si>
  <si>
    <t>Testar RFS15</t>
  </si>
  <si>
    <t>Testar RFS16</t>
  </si>
  <si>
    <t>Testar RFS17</t>
  </si>
  <si>
    <t>Testar RFS18</t>
  </si>
  <si>
    <t>Testar RFS19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</si>
</sst>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0.0"/>
    <numFmt numFmtId="167" formatCode="&quot;UC&quot;00#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color theme="1"/>
      <name val="Arial"/>
    </font>
    <font>
      <color rgb="FF000000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87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  <bottom style="double">
        <color rgb="FF000000"/>
      </bottom>
    </border>
    <border>
      <bottom style="double">
        <color rgb="FF000000"/>
      </bottom>
    </border>
    <border>
      <right/>
      <bottom style="double">
        <color rgb="FF000000"/>
      </bottom>
    </border>
    <border>
      <left/>
      <right/>
      <bottom/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left" vertical="center"/>
    </xf>
    <xf borderId="9" fillId="0" fontId="3" numFmtId="0" xfId="0" applyBorder="1" applyFont="1"/>
    <xf borderId="8" fillId="2" fontId="4" numFmtId="0" xfId="0" applyAlignment="1" applyBorder="1" applyFont="1">
      <alignment horizontal="left" readingOrder="0" vertical="center"/>
    </xf>
    <xf borderId="10" fillId="0" fontId="3" numFmtId="0" xfId="0" applyBorder="1" applyFont="1"/>
    <xf borderId="8" fillId="2" fontId="5" numFmtId="0" xfId="0" applyAlignment="1" applyBorder="1" applyFont="1">
      <alignment horizontal="left" vertical="center"/>
    </xf>
    <xf borderId="8" fillId="2" fontId="1" numFmtId="0" xfId="0" applyAlignment="1" applyBorder="1" applyFont="1">
      <alignment horizontal="left" readingOrder="0" vertical="center"/>
    </xf>
    <xf borderId="8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  <xf borderId="1" fillId="2" fontId="6" numFmtId="0" xfId="0" applyBorder="1" applyFont="1"/>
    <xf borderId="8" fillId="2" fontId="7" numFmtId="0" xfId="0" applyBorder="1" applyFont="1"/>
    <xf borderId="1" fillId="2" fontId="7" numFmtId="0" xfId="0" applyBorder="1" applyFont="1"/>
    <xf borderId="11" fillId="3" fontId="5" numFmtId="0" xfId="0" applyAlignment="1" applyBorder="1" applyFill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1" fillId="3" fontId="5" numFmtId="0" xfId="0" applyAlignment="1" applyBorder="1" applyFont="1">
      <alignment horizontal="left"/>
    </xf>
    <xf borderId="14" fillId="0" fontId="3" numFmtId="0" xfId="0" applyBorder="1" applyFont="1"/>
    <xf borderId="15" fillId="3" fontId="5" numFmtId="0" xfId="0" applyAlignment="1" applyBorder="1" applyFont="1">
      <alignment horizontal="center"/>
    </xf>
    <xf borderId="1" fillId="2" fontId="5" numFmtId="0" xfId="0" applyBorder="1" applyFont="1"/>
    <xf borderId="16" fillId="2" fontId="1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2" fontId="1" numFmtId="0" xfId="0" applyAlignment="1" applyBorder="1" applyFont="1">
      <alignment horizontal="center"/>
    </xf>
    <xf borderId="20" fillId="2" fontId="1" numFmtId="2" xfId="0" applyAlignment="1" applyBorder="1" applyFont="1" applyNumberFormat="1">
      <alignment horizontal="center"/>
    </xf>
    <xf borderId="21" fillId="0" fontId="1" numFmtId="165" xfId="0" applyAlignment="1" applyBorder="1" applyFont="1" applyNumberFormat="1">
      <alignment horizontal="center"/>
    </xf>
    <xf borderId="22" fillId="2" fontId="1" numFmtId="0" xfId="0" applyAlignment="1" applyBorder="1" applyFont="1">
      <alignment horizontal="left"/>
    </xf>
    <xf borderId="23" fillId="0" fontId="3" numFmtId="0" xfId="0" applyBorder="1" applyFont="1"/>
    <xf borderId="24" fillId="0" fontId="3" numFmtId="0" xfId="0" applyBorder="1" applyFont="1"/>
    <xf borderId="25" fillId="2" fontId="1" numFmtId="166" xfId="0" applyAlignment="1" applyBorder="1" applyFont="1" applyNumberFormat="1">
      <alignment horizontal="center"/>
    </xf>
    <xf borderId="26" fillId="2" fontId="1" numFmtId="0" xfId="0" applyAlignment="1" applyBorder="1" applyFont="1">
      <alignment horizontal="left"/>
    </xf>
    <xf borderId="27" fillId="0" fontId="3" numFmtId="0" xfId="0" applyBorder="1" applyFont="1"/>
    <xf borderId="28" fillId="0" fontId="3" numFmtId="0" xfId="0" applyBorder="1" applyFont="1"/>
    <xf borderId="29" fillId="2" fontId="1" numFmtId="2" xfId="0" applyAlignment="1" applyBorder="1" applyFont="1" applyNumberFormat="1">
      <alignment horizontal="center"/>
    </xf>
    <xf borderId="30" fillId="0" fontId="1" numFmtId="165" xfId="0" applyAlignment="1" applyBorder="1" applyFont="1" applyNumberFormat="1">
      <alignment horizontal="center"/>
    </xf>
    <xf borderId="31" fillId="2" fontId="1" numFmtId="0" xfId="0" applyAlignment="1" applyBorder="1" applyFont="1">
      <alignment horizontal="left"/>
    </xf>
    <xf borderId="32" fillId="0" fontId="3" numFmtId="0" xfId="0" applyBorder="1" applyFont="1"/>
    <xf borderId="33" fillId="0" fontId="3" numFmtId="0" xfId="0" applyBorder="1" applyFont="1"/>
    <xf borderId="30" fillId="0" fontId="1" numFmtId="10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37" fillId="2" fontId="5" numFmtId="0" xfId="0" applyBorder="1" applyFont="1"/>
    <xf borderId="22" fillId="2" fontId="5" numFmtId="0" xfId="0" applyAlignment="1" applyBorder="1" applyFont="1">
      <alignment horizontal="center"/>
    </xf>
    <xf borderId="38" fillId="2" fontId="5" numFmtId="166" xfId="0" applyAlignment="1" applyBorder="1" applyFont="1" applyNumberFormat="1">
      <alignment horizontal="center"/>
    </xf>
    <xf borderId="39" fillId="2" fontId="8" numFmtId="165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 shrinkToFit="0" wrapText="1"/>
    </xf>
    <xf borderId="40" fillId="2" fontId="2" numFmtId="0" xfId="0" applyAlignment="1" applyBorder="1" applyFont="1">
      <alignment horizontal="center"/>
    </xf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2" fontId="1" numFmtId="0" xfId="0" applyBorder="1" applyFont="1"/>
    <xf borderId="47" fillId="2" fontId="1" numFmtId="0" xfId="0" applyBorder="1" applyFont="1"/>
    <xf borderId="48" fillId="2" fontId="5" numFmtId="0" xfId="0" applyBorder="1" applyFont="1"/>
    <xf borderId="49" fillId="2" fontId="5" numFmtId="0" xfId="0" applyAlignment="1" applyBorder="1" applyFont="1">
      <alignment horizontal="center"/>
    </xf>
    <xf borderId="15" fillId="2" fontId="5" numFmtId="0" xfId="0" applyBorder="1" applyFont="1"/>
    <xf borderId="50" fillId="2" fontId="5" numFmtId="0" xfId="0" applyAlignment="1" applyBorder="1" applyFont="1">
      <alignment readingOrder="0"/>
    </xf>
    <xf borderId="9" fillId="2" fontId="1" numFmtId="0" xfId="0" applyBorder="1" applyFont="1"/>
    <xf borderId="51" fillId="2" fontId="1" numFmtId="0" xfId="0" applyAlignment="1" applyBorder="1" applyFont="1">
      <alignment horizontal="center"/>
    </xf>
    <xf borderId="52" fillId="2" fontId="1" numFmtId="0" xfId="0" applyAlignment="1" applyBorder="1" applyFont="1">
      <alignment horizontal="center"/>
    </xf>
    <xf borderId="53" fillId="2" fontId="1" numFmtId="0" xfId="0" applyAlignment="1" applyBorder="1" applyFont="1">
      <alignment horizontal="center"/>
    </xf>
    <xf borderId="54" fillId="2" fontId="1" numFmtId="0" xfId="0" applyAlignment="1" applyBorder="1" applyFont="1">
      <alignment readingOrder="0"/>
    </xf>
    <xf borderId="55" fillId="2" fontId="1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56" fillId="2" fontId="1" numFmtId="0" xfId="0" applyAlignment="1" applyBorder="1" applyFont="1">
      <alignment readingOrder="0"/>
    </xf>
    <xf borderId="58" fillId="2" fontId="1" numFmtId="0" xfId="0" applyAlignment="1" applyBorder="1" applyFont="1">
      <alignment horizontal="center"/>
    </xf>
    <xf borderId="59" fillId="2" fontId="1" numFmtId="0" xfId="0" applyAlignment="1" applyBorder="1" applyFont="1">
      <alignment horizontal="center"/>
    </xf>
    <xf borderId="60" fillId="2" fontId="1" numFmtId="0" xfId="0" applyAlignment="1" applyBorder="1" applyFont="1">
      <alignment horizontal="center"/>
    </xf>
    <xf borderId="61" fillId="2" fontId="5" numFmtId="0" xfId="0" applyBorder="1" applyFont="1"/>
    <xf borderId="50" fillId="2" fontId="5" numFmtId="0" xfId="0" applyAlignment="1" applyBorder="1" applyFont="1">
      <alignment horizontal="center"/>
    </xf>
    <xf borderId="8" fillId="2" fontId="1" numFmtId="0" xfId="0" applyBorder="1" applyFont="1"/>
    <xf borderId="62" fillId="0" fontId="9" numFmtId="0" xfId="0" applyBorder="1" applyFont="1"/>
    <xf borderId="56" fillId="2" fontId="5" numFmtId="0" xfId="0" applyBorder="1" applyFont="1"/>
    <xf borderId="56" fillId="0" fontId="1" numFmtId="0" xfId="0" applyAlignment="1" applyBorder="1" applyFont="1">
      <alignment readingOrder="0"/>
    </xf>
    <xf borderId="56" fillId="2" fontId="1" numFmtId="0" xfId="0" applyAlignment="1" applyBorder="1" applyFont="1">
      <alignment horizontal="center" readingOrder="0"/>
    </xf>
    <xf borderId="1" fillId="2" fontId="10" numFmtId="0" xfId="0" applyBorder="1" applyFont="1"/>
    <xf borderId="56" fillId="0" fontId="9" numFmtId="0" xfId="0" applyAlignment="1" applyBorder="1" applyFont="1">
      <alignment readingOrder="0"/>
    </xf>
    <xf borderId="56" fillId="2" fontId="5" numFmtId="0" xfId="0" applyAlignment="1" applyBorder="1" applyFont="1">
      <alignment horizontal="center"/>
    </xf>
    <xf borderId="63" fillId="2" fontId="2" numFmtId="0" xfId="0" applyAlignment="1" applyBorder="1" applyFont="1">
      <alignment horizontal="center"/>
    </xf>
    <xf borderId="64" fillId="0" fontId="3" numFmtId="0" xfId="0" applyBorder="1" applyFont="1"/>
    <xf borderId="65" fillId="0" fontId="3" numFmtId="0" xfId="0" applyBorder="1" applyFont="1"/>
    <xf borderId="1" fillId="2" fontId="2" numFmtId="0" xfId="0" applyBorder="1" applyFont="1"/>
    <xf borderId="48" fillId="2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50" fillId="2" fontId="5" numFmtId="0" xfId="0" applyAlignment="1" applyBorder="1" applyFont="1">
      <alignment horizontal="center" readingOrder="0"/>
    </xf>
    <xf borderId="66" fillId="2" fontId="1" numFmtId="0" xfId="0" applyAlignment="1" applyBorder="1" applyFont="1">
      <alignment horizontal="center"/>
    </xf>
    <xf borderId="67" fillId="2" fontId="1" numFmtId="0" xfId="0" applyAlignment="1" applyBorder="1" applyFont="1">
      <alignment horizontal="center"/>
    </xf>
    <xf borderId="68" fillId="2" fontId="1" numFmtId="0" xfId="0" applyAlignment="1" applyBorder="1" applyFont="1">
      <alignment horizontal="center"/>
    </xf>
    <xf borderId="54" fillId="2" fontId="1" numFmtId="0" xfId="0" applyAlignment="1" applyBorder="1" applyFont="1">
      <alignment horizontal="center" readingOrder="0"/>
    </xf>
    <xf borderId="69" fillId="2" fontId="1" numFmtId="0" xfId="0" applyAlignment="1" applyBorder="1" applyFont="1">
      <alignment horizontal="center"/>
    </xf>
    <xf borderId="70" fillId="2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71" fillId="2" fontId="5" numFmtId="0" xfId="0" applyBorder="1" applyFont="1"/>
    <xf borderId="72" fillId="2" fontId="5" numFmtId="0" xfId="0" applyBorder="1" applyFont="1"/>
    <xf borderId="72" fillId="2" fontId="5" numFmtId="0" xfId="0" applyAlignment="1" applyBorder="1" applyFont="1">
      <alignment horizontal="left"/>
    </xf>
    <xf borderId="73" fillId="2" fontId="5" numFmtId="0" xfId="0" applyBorder="1" applyFont="1"/>
    <xf borderId="52" fillId="2" fontId="1" numFmtId="167" xfId="0" applyBorder="1" applyFont="1" applyNumberFormat="1"/>
    <xf borderId="52" fillId="2" fontId="11" numFmtId="0" xfId="0" applyAlignment="1" applyBorder="1" applyFont="1">
      <alignment vertical="bottom"/>
    </xf>
    <xf borderId="52" fillId="2" fontId="11" numFmtId="0" xfId="0" applyAlignment="1" applyBorder="1" applyFont="1">
      <alignment horizontal="center" vertical="bottom"/>
    </xf>
    <xf borderId="52" fillId="2" fontId="11" numFmtId="0" xfId="0" applyAlignment="1" applyBorder="1" applyFont="1">
      <alignment horizontal="center" vertical="bottom"/>
    </xf>
    <xf borderId="52" fillId="2" fontId="11" numFmtId="0" xfId="0" applyAlignment="1" applyBorder="1" applyFont="1">
      <alignment shrinkToFit="0" vertical="bottom" wrapText="0"/>
    </xf>
    <xf borderId="52" fillId="2" fontId="11" numFmtId="0" xfId="0" applyAlignment="1" applyBorder="1" applyFont="1">
      <alignment readingOrder="0" vertical="bottom"/>
    </xf>
    <xf borderId="52" fillId="2" fontId="11" numFmtId="0" xfId="0" applyAlignment="1" applyBorder="1" applyFont="1">
      <alignment readingOrder="0" shrinkToFit="0" vertical="bottom" wrapText="0"/>
    </xf>
    <xf borderId="52" fillId="2" fontId="12" numFmtId="0" xfId="0" applyAlignment="1" applyBorder="1" applyFont="1">
      <alignment readingOrder="0" vertical="bottom"/>
    </xf>
    <xf borderId="52" fillId="2" fontId="12" numFmtId="0" xfId="0" applyAlignment="1" applyBorder="1" applyFont="1">
      <alignment horizontal="center" vertical="bottom"/>
    </xf>
    <xf borderId="52" fillId="2" fontId="12" numFmtId="0" xfId="0" applyAlignment="1" applyBorder="1" applyFont="1">
      <alignment horizontal="center" vertical="bottom"/>
    </xf>
    <xf borderId="52" fillId="2" fontId="12" numFmtId="0" xfId="0" applyAlignment="1" applyBorder="1" applyFont="1">
      <alignment shrinkToFit="0" vertical="bottom" wrapText="0"/>
    </xf>
    <xf borderId="52" fillId="2" fontId="1" numFmtId="0" xfId="0" applyBorder="1" applyFont="1"/>
    <xf borderId="52" fillId="2" fontId="1" numFmtId="0" xfId="0" applyAlignment="1" applyBorder="1" applyFont="1">
      <alignment shrinkToFit="0" wrapText="0"/>
    </xf>
    <xf borderId="74" fillId="2" fontId="5" numFmtId="0" xfId="0" applyBorder="1" applyFont="1"/>
    <xf borderId="75" fillId="2" fontId="5" numFmtId="0" xfId="0" applyAlignment="1" applyBorder="1" applyFont="1">
      <alignment horizontal="center"/>
    </xf>
    <xf borderId="74" fillId="2" fontId="5" numFmtId="0" xfId="0" applyAlignment="1" applyBorder="1" applyFont="1">
      <alignment horizontal="center"/>
    </xf>
    <xf borderId="57" fillId="3" fontId="5" numFmtId="0" xfId="0" applyAlignment="1" applyBorder="1" applyFont="1">
      <alignment horizontal="left"/>
    </xf>
    <xf borderId="56" fillId="4" fontId="5" numFmtId="0" xfId="0" applyAlignment="1" applyBorder="1" applyFill="1" applyFont="1">
      <alignment horizontal="center"/>
    </xf>
    <xf borderId="56" fillId="4" fontId="5" numFmtId="0" xfId="0" applyBorder="1" applyFont="1"/>
    <xf borderId="56" fillId="2" fontId="1" numFmtId="0" xfId="0" applyBorder="1" applyFont="1"/>
    <xf borderId="1" fillId="2" fontId="1" numFmtId="0" xfId="0" applyAlignment="1" applyBorder="1" applyFont="1">
      <alignment horizontal="center"/>
    </xf>
    <xf borderId="57" fillId="2" fontId="5" numFmtId="0" xfId="0" applyAlignment="1" applyBorder="1" applyFont="1">
      <alignment horizontal="right"/>
    </xf>
    <xf borderId="76" fillId="0" fontId="3" numFmtId="0" xfId="0" applyBorder="1" applyFont="1"/>
    <xf borderId="77" fillId="3" fontId="1" numFmtId="0" xfId="0" applyBorder="1" applyFont="1"/>
    <xf borderId="78" fillId="3" fontId="1" numFmtId="0" xfId="0" applyBorder="1" applyFont="1"/>
    <xf borderId="52" fillId="4" fontId="5" numFmtId="0" xfId="0" applyAlignment="1" applyBorder="1" applyFont="1">
      <alignment horizontal="center"/>
    </xf>
    <xf borderId="53" fillId="4" fontId="5" numFmtId="0" xfId="0" applyAlignment="1" applyBorder="1" applyFont="1">
      <alignment horizontal="left"/>
    </xf>
    <xf borderId="57" fillId="2" fontId="1" numFmtId="0" xfId="0" applyAlignment="1" applyBorder="1" applyFont="1">
      <alignment horizontal="left"/>
    </xf>
    <xf borderId="63" fillId="2" fontId="13" numFmtId="0" xfId="0" applyAlignment="1" applyBorder="1" applyFont="1">
      <alignment horizontal="center"/>
    </xf>
    <xf borderId="1" fillId="2" fontId="14" numFmtId="0" xfId="0" applyBorder="1" applyFont="1"/>
    <xf borderId="79" fillId="5" fontId="15" numFmtId="0" xfId="0" applyBorder="1" applyFill="1" applyFont="1"/>
    <xf borderId="80" fillId="5" fontId="15" numFmtId="0" xfId="0" applyBorder="1" applyFont="1"/>
    <xf borderId="81" fillId="5" fontId="15" numFmtId="0" xfId="0" applyBorder="1" applyFont="1"/>
    <xf borderId="82" fillId="5" fontId="15" numFmtId="0" xfId="0" applyBorder="1" applyFont="1"/>
    <xf borderId="66" fillId="2" fontId="1" numFmtId="0" xfId="0" applyBorder="1" applyFont="1"/>
    <xf borderId="20" fillId="2" fontId="1" numFmtId="0" xfId="0" applyAlignment="1" applyBorder="1" applyFont="1">
      <alignment horizontal="center"/>
    </xf>
    <xf borderId="19" fillId="2" fontId="1" numFmtId="166" xfId="0" applyAlignment="1" applyBorder="1" applyFont="1" applyNumberFormat="1">
      <alignment horizontal="center"/>
    </xf>
    <xf borderId="83" fillId="2" fontId="1" numFmtId="0" xfId="0" applyAlignment="1" applyBorder="1" applyFont="1">
      <alignment horizontal="center"/>
    </xf>
    <xf borderId="56" fillId="0" fontId="1" numFmtId="0" xfId="0" applyAlignment="1" applyBorder="1" applyFont="1">
      <alignment horizontal="center"/>
    </xf>
    <xf borderId="55" fillId="2" fontId="1" numFmtId="0" xfId="0" applyBorder="1" applyFont="1"/>
    <xf borderId="84" fillId="2" fontId="1" numFmtId="166" xfId="0" applyAlignment="1" applyBorder="1" applyFont="1" applyNumberFormat="1">
      <alignment horizontal="center"/>
    </xf>
    <xf borderId="58" fillId="2" fontId="1" numFmtId="0" xfId="0" applyBorder="1" applyFont="1"/>
    <xf borderId="38" fillId="2" fontId="1" numFmtId="0" xfId="0" applyAlignment="1" applyBorder="1" applyFont="1">
      <alignment horizontal="center"/>
    </xf>
    <xf borderId="49" fillId="2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85" fillId="6" fontId="15" numFmtId="0" xfId="0" applyAlignment="1" applyBorder="1" applyFill="1" applyFont="1">
      <alignment horizontal="center"/>
    </xf>
    <xf borderId="50" fillId="5" fontId="15" numFmtId="166" xfId="0" applyAlignment="1" applyBorder="1" applyFont="1" applyNumberFormat="1">
      <alignment horizontal="center" readingOrder="0"/>
    </xf>
    <xf borderId="86" fillId="5" fontId="15" numFmtId="0" xfId="0" applyBorder="1" applyFont="1"/>
    <xf borderId="86" fillId="5" fontId="16" numFmtId="0" xfId="0" applyBorder="1" applyFont="1"/>
    <xf borderId="50" fillId="5" fontId="15" numFmtId="0" xfId="0" applyAlignment="1" applyBorder="1" applyFont="1">
      <alignment horizontal="center"/>
    </xf>
    <xf borderId="50" fillId="5" fontId="15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7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10.5"/>
    <col customWidth="1" min="11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6"/>
      <c r="C4" s="7"/>
      <c r="D4" s="7"/>
      <c r="E4" s="7"/>
      <c r="F4" s="7"/>
      <c r="G4" s="7"/>
      <c r="H4" s="7"/>
      <c r="I4" s="7"/>
      <c r="J4" s="8"/>
      <c r="K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</v>
      </c>
      <c r="C6" s="10"/>
      <c r="D6" s="11" t="s">
        <v>2</v>
      </c>
      <c r="E6" s="12"/>
      <c r="F6" s="12"/>
      <c r="G6" s="12"/>
      <c r="H6" s="12"/>
      <c r="I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3" t="s">
        <v>3</v>
      </c>
      <c r="C7" s="10"/>
      <c r="D7" s="14" t="s">
        <v>4</v>
      </c>
      <c r="E7" s="12"/>
      <c r="F7" s="12"/>
      <c r="G7" s="12"/>
      <c r="H7" s="12"/>
      <c r="I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5" t="s">
        <v>5</v>
      </c>
      <c r="C8" s="10"/>
      <c r="D8" s="16">
        <v>45908.0</v>
      </c>
      <c r="E8" s="17"/>
      <c r="F8" s="13" t="s">
        <v>6</v>
      </c>
      <c r="G8" s="10"/>
      <c r="H8" s="18" t="s">
        <v>7</v>
      </c>
      <c r="I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C9" s="19"/>
      <c r="D9" s="20" t="s">
        <v>8</v>
      </c>
      <c r="E9" s="12"/>
      <c r="F9" s="12"/>
      <c r="G9" s="12"/>
      <c r="H9" s="12"/>
      <c r="I9" s="10"/>
      <c r="J9" s="2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2" t="s">
        <v>9</v>
      </c>
      <c r="C12" s="23"/>
      <c r="D12" s="23"/>
      <c r="E12" s="24"/>
      <c r="G12" s="25" t="s">
        <v>10</v>
      </c>
      <c r="H12" s="23"/>
      <c r="I12" s="26"/>
      <c r="J12" s="27" t="s">
        <v>11</v>
      </c>
      <c r="K12" s="27" t="s">
        <v>12</v>
      </c>
      <c r="M12" s="2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9" t="s">
        <v>13</v>
      </c>
      <c r="C13" s="30"/>
      <c r="D13" s="31"/>
      <c r="E13" s="32">
        <f>Atores!D10+UC!D10</f>
        <v>108</v>
      </c>
      <c r="G13" s="29" t="s">
        <v>14</v>
      </c>
      <c r="H13" s="30"/>
      <c r="I13" s="31"/>
      <c r="J13" s="33">
        <f t="shared" ref="J13:J20" si="1">$E$13*$E$14*K13</f>
        <v>15.12</v>
      </c>
      <c r="K13" s="34">
        <f>dadoshistoricos!E31</f>
        <v>0.04666666667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5" t="s">
        <v>15</v>
      </c>
      <c r="C14" s="36"/>
      <c r="D14" s="37"/>
      <c r="E14" s="38">
        <f>dadoshistoricos!L30</f>
        <v>3</v>
      </c>
      <c r="G14" s="39" t="s">
        <v>16</v>
      </c>
      <c r="H14" s="40"/>
      <c r="I14" s="41"/>
      <c r="J14" s="42">
        <f t="shared" si="1"/>
        <v>53.28</v>
      </c>
      <c r="K14" s="43">
        <f>dadoshistoricos!F31*0.8</f>
        <v>0.1644444444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4"/>
      <c r="C15" s="45"/>
      <c r="D15" s="46"/>
      <c r="E15" s="1"/>
      <c r="G15" s="39" t="s">
        <v>17</v>
      </c>
      <c r="H15" s="40"/>
      <c r="I15" s="41"/>
      <c r="J15" s="42">
        <f t="shared" si="1"/>
        <v>13.32</v>
      </c>
      <c r="K15" s="47">
        <f>dadoshistoricos!F31*0.2</f>
        <v>0.04111111111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8"/>
      <c r="C16" s="12"/>
      <c r="D16" s="10"/>
      <c r="G16" s="39" t="s">
        <v>18</v>
      </c>
      <c r="H16" s="40"/>
      <c r="I16" s="41"/>
      <c r="J16" s="42">
        <f t="shared" si="1"/>
        <v>21.6</v>
      </c>
      <c r="K16" s="47">
        <f>dadoshistoricos!G31</f>
        <v>0.06666666667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49" t="s">
        <v>19</v>
      </c>
      <c r="H17" s="50"/>
      <c r="I17" s="51"/>
      <c r="J17" s="42">
        <f t="shared" si="1"/>
        <v>180</v>
      </c>
      <c r="K17" s="47">
        <f>dadoshistoricos!H31</f>
        <v>0.5555555556</v>
      </c>
      <c r="L17" s="1"/>
      <c r="M17" s="2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G18" s="49" t="s">
        <v>20</v>
      </c>
      <c r="H18" s="50"/>
      <c r="I18" s="51"/>
      <c r="J18" s="42">
        <f t="shared" si="1"/>
        <v>7.2</v>
      </c>
      <c r="K18" s="47">
        <f>dadoshistoricos!I31</f>
        <v>0.02222222222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E19" s="1"/>
      <c r="F19" s="1"/>
      <c r="G19" s="49" t="s">
        <v>21</v>
      </c>
      <c r="H19" s="50"/>
      <c r="I19" s="51"/>
      <c r="J19" s="42">
        <f t="shared" si="1"/>
        <v>21.96</v>
      </c>
      <c r="K19" s="47">
        <f>dadoshistoricos!J31</f>
        <v>0.06777777778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2" t="s">
        <v>22</v>
      </c>
      <c r="C20" s="52"/>
      <c r="D20" s="52"/>
      <c r="E20" s="52"/>
      <c r="F20" s="52"/>
      <c r="G20" s="49" t="s">
        <v>23</v>
      </c>
      <c r="H20" s="50"/>
      <c r="I20" s="51"/>
      <c r="J20" s="42">
        <f t="shared" si="1"/>
        <v>11.52</v>
      </c>
      <c r="K20" s="47">
        <f>dadoshistoricos!K31</f>
        <v>0.03555555556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G21" s="53" t="s">
        <v>24</v>
      </c>
      <c r="H21" s="36"/>
      <c r="I21" s="37"/>
      <c r="J21" s="54">
        <f>SUM(J13:J19)</f>
        <v>312.48</v>
      </c>
      <c r="K21" s="55">
        <f>SUM(K13:K20)</f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8" t="s">
        <v>25</v>
      </c>
      <c r="C22" s="12"/>
      <c r="D22" s="12"/>
      <c r="E22" s="12"/>
      <c r="F22" s="12"/>
      <c r="G22" s="12"/>
      <c r="H22" s="12"/>
      <c r="I22" s="12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56" t="s">
        <v>26</v>
      </c>
      <c r="C23" s="12"/>
      <c r="D23" s="12"/>
      <c r="E23" s="12"/>
      <c r="F23" s="12"/>
      <c r="G23" s="12"/>
      <c r="H23" s="12"/>
      <c r="I23" s="12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 t="s">
        <v>28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 t="s">
        <v>29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6" t="s">
        <v>30</v>
      </c>
      <c r="C28" s="12"/>
      <c r="D28" s="12"/>
      <c r="E28" s="12"/>
      <c r="F28" s="12"/>
      <c r="G28" s="12"/>
      <c r="H28" s="12"/>
      <c r="I28" s="12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:J4"/>
    <mergeCell ref="B6:C6"/>
    <mergeCell ref="D6:I6"/>
    <mergeCell ref="B7:C7"/>
    <mergeCell ref="D7:I7"/>
    <mergeCell ref="F8:G8"/>
    <mergeCell ref="D9:I9"/>
    <mergeCell ref="G14:I14"/>
    <mergeCell ref="G15:I15"/>
    <mergeCell ref="G17:I17"/>
    <mergeCell ref="G18:I18"/>
    <mergeCell ref="G19:I19"/>
    <mergeCell ref="G20:I20"/>
    <mergeCell ref="G21:I21"/>
    <mergeCell ref="B16:D16"/>
    <mergeCell ref="G16:I16"/>
    <mergeCell ref="B22:J22"/>
    <mergeCell ref="B23:J23"/>
    <mergeCell ref="B28:J28"/>
    <mergeCell ref="B8:C8"/>
    <mergeCell ref="B12:E12"/>
    <mergeCell ref="G12:I12"/>
    <mergeCell ref="B13:D13"/>
    <mergeCell ref="G13:I13"/>
    <mergeCell ref="B14:D14"/>
    <mergeCell ref="B15:D15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54.25"/>
    <col customWidth="1" min="6" max="6" width="17.88"/>
    <col customWidth="1" min="7" max="7" width="4.63"/>
    <col customWidth="1" min="8" max="12" width="9.13"/>
    <col customWidth="1" min="13" max="26" width="8.63"/>
  </cols>
  <sheetData>
    <row r="1" ht="12.75" customHeight="1">
      <c r="A1" s="1"/>
      <c r="B1" s="57" t="s">
        <v>31</v>
      </c>
      <c r="C1" s="58"/>
      <c r="D1" s="58"/>
      <c r="E1" s="5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60"/>
      <c r="C2" s="61"/>
      <c r="D2" s="61"/>
      <c r="E2" s="6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63"/>
      <c r="C3" s="63"/>
      <c r="D3" s="63"/>
      <c r="E3" s="6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6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65" t="s">
        <v>32</v>
      </c>
      <c r="C6" s="66" t="s">
        <v>33</v>
      </c>
      <c r="D6" s="67" t="s">
        <v>34</v>
      </c>
      <c r="E6" s="68" t="s">
        <v>35</v>
      </c>
      <c r="F6" s="6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70" t="s">
        <v>36</v>
      </c>
      <c r="C7" s="71">
        <v>1.0</v>
      </c>
      <c r="D7" s="72">
        <f>COUNTIF(Atores,B7)</f>
        <v>2</v>
      </c>
      <c r="E7" s="73" t="s">
        <v>37</v>
      </c>
      <c r="F7" s="6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74" t="s">
        <v>38</v>
      </c>
      <c r="C8" s="75">
        <v>2.0</v>
      </c>
      <c r="D8" s="76">
        <f>COUNTIF(Atores,B8)</f>
        <v>0</v>
      </c>
      <c r="E8" s="77" t="s">
        <v>39</v>
      </c>
      <c r="F8" s="6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8" t="s">
        <v>40</v>
      </c>
      <c r="C9" s="79">
        <v>3.0</v>
      </c>
      <c r="D9" s="80">
        <f>COUNTIF(Atores,B9)</f>
        <v>2</v>
      </c>
      <c r="E9" s="77" t="s">
        <v>41</v>
      </c>
      <c r="F9" s="6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81" t="s">
        <v>42</v>
      </c>
      <c r="D10" s="82">
        <f>(C7*D7)+(C8*D8)+(C9*D9)</f>
        <v>8</v>
      </c>
      <c r="E10" s="6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6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83"/>
      <c r="F12" s="84"/>
      <c r="G12" s="6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85" t="s">
        <v>43</v>
      </c>
      <c r="C13" s="85" t="s">
        <v>44</v>
      </c>
      <c r="D13" s="1"/>
      <c r="E13" s="83"/>
      <c r="F13" s="84"/>
      <c r="G13" s="6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7" t="s">
        <v>45</v>
      </c>
      <c r="C14" s="75" t="s">
        <v>40</v>
      </c>
      <c r="D14" s="1"/>
      <c r="E14" s="83"/>
      <c r="F14" s="84"/>
      <c r="G14" s="6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77" t="s">
        <v>46</v>
      </c>
      <c r="C15" s="75" t="s">
        <v>40</v>
      </c>
      <c r="D15" s="1"/>
      <c r="E15" s="83"/>
      <c r="F15" s="84"/>
      <c r="G15" s="6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86" t="s">
        <v>47</v>
      </c>
      <c r="C16" s="87" t="s">
        <v>36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77" t="s">
        <v>48</v>
      </c>
      <c r="C17" s="87" t="s">
        <v>36</v>
      </c>
      <c r="D17" s="1"/>
      <c r="E17" s="1"/>
      <c r="F17" s="8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83"/>
      <c r="B18" s="89"/>
      <c r="C18" s="87"/>
      <c r="D18" s="6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83"/>
      <c r="B19" s="77" t="s">
        <v>49</v>
      </c>
      <c r="C19" s="87" t="s">
        <v>36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83"/>
      <c r="B20" s="89" t="s">
        <v>50</v>
      </c>
      <c r="C20" s="87" t="s">
        <v>36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0" t="s">
        <v>51</v>
      </c>
      <c r="C21" s="90">
        <f>SUBTOTAL(103,C14:C20)</f>
        <v>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E2"/>
  </mergeCells>
  <dataValidations>
    <dataValidation type="list" allowBlank="1" showErrorMessage="1" sqref="C14:C20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66.75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91" t="s">
        <v>52</v>
      </c>
      <c r="C2" s="92"/>
      <c r="D2" s="93"/>
      <c r="E2" s="94"/>
      <c r="F2" s="94"/>
      <c r="G2" s="94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95" t="s">
        <v>53</v>
      </c>
      <c r="C6" s="66" t="s">
        <v>33</v>
      </c>
      <c r="D6" s="96" t="s">
        <v>54</v>
      </c>
      <c r="E6" s="97" t="s">
        <v>35</v>
      </c>
      <c r="F6" s="69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98" t="s">
        <v>36</v>
      </c>
      <c r="C7" s="99">
        <v>5.0</v>
      </c>
      <c r="D7" s="100">
        <f>COUNTIF(CUC,B7)</f>
        <v>18</v>
      </c>
      <c r="E7" s="101" t="s">
        <v>55</v>
      </c>
      <c r="F7" s="69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74" t="s">
        <v>38</v>
      </c>
      <c r="C8" s="75">
        <v>10.0</v>
      </c>
      <c r="D8" s="72">
        <f>COUNTIF(CUC,B8)</f>
        <v>1</v>
      </c>
      <c r="E8" s="87" t="s">
        <v>56</v>
      </c>
      <c r="F8" s="69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78" t="s">
        <v>40</v>
      </c>
      <c r="C9" s="102">
        <v>15.0</v>
      </c>
      <c r="D9" s="72">
        <f>COUNTIF(CUC,B9)</f>
        <v>0</v>
      </c>
      <c r="E9" s="87" t="s">
        <v>57</v>
      </c>
      <c r="F9" s="69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82" t="s">
        <v>58</v>
      </c>
      <c r="D10" s="103">
        <f>(C7*D7)+(C8*D8)+(C9*D9)</f>
        <v>100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04"/>
      <c r="B11" s="12"/>
      <c r="C11" s="1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05" t="s">
        <v>59</v>
      </c>
      <c r="B12" s="106" t="s">
        <v>60</v>
      </c>
      <c r="C12" s="107" t="s">
        <v>61</v>
      </c>
      <c r="D12" s="106" t="s">
        <v>44</v>
      </c>
      <c r="E12" s="108" t="s">
        <v>62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09"/>
      <c r="B13" s="110" t="s">
        <v>63</v>
      </c>
      <c r="C13" s="111">
        <v>1.0</v>
      </c>
      <c r="D13" s="112" t="str">
        <f>IF(C13&lt;4,"Simples",(IF(C13&gt;7,"Complexo",IF(C13="", "","Médio"))))</f>
        <v>Simples</v>
      </c>
      <c r="E13" s="113" t="s">
        <v>64</v>
      </c>
      <c r="F13" s="1"/>
      <c r="G13" s="1"/>
      <c r="I13" s="1"/>
      <c r="J13" s="1"/>
      <c r="K13" s="1"/>
      <c r="L13" s="1"/>
      <c r="M13" s="1"/>
      <c r="N13" s="1"/>
      <c r="O13" s="1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09"/>
      <c r="B14" s="110" t="s">
        <v>65</v>
      </c>
      <c r="C14" s="111">
        <v>1.0</v>
      </c>
      <c r="D14" s="112" t="str">
        <f>IF(C14&lt;4,"Simples",(IF(C14&gt;7,"Complexo",IF(C14="", " ","Médio"))))</f>
        <v>Simples</v>
      </c>
      <c r="E14" s="113" t="s">
        <v>64</v>
      </c>
      <c r="F14" s="1"/>
      <c r="G14" s="1"/>
      <c r="I14" s="1"/>
      <c r="J14" s="1"/>
      <c r="K14" s="1"/>
      <c r="L14" s="1"/>
      <c r="M14" s="1"/>
      <c r="N14" s="1"/>
      <c r="O14" s="1">
        <v>2.0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09"/>
      <c r="B15" s="110" t="s">
        <v>66</v>
      </c>
      <c r="C15" s="111">
        <v>3.0</v>
      </c>
      <c r="D15" s="112" t="str">
        <f t="shared" ref="D15:D31" si="1">IF(C15&lt;4,"Simples",(IF(C15&gt;7,"Complexo",IF(C15="", "","Médio"))))</f>
        <v>Simples</v>
      </c>
      <c r="E15" s="113" t="s">
        <v>67</v>
      </c>
      <c r="F15" s="1"/>
      <c r="G15" s="1"/>
      <c r="I15" s="1"/>
      <c r="J15" s="1"/>
      <c r="K15" s="1"/>
      <c r="L15" s="1"/>
      <c r="M15" s="1"/>
      <c r="N15" s="1"/>
      <c r="O15" s="1">
        <v>3.0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09"/>
      <c r="B16" s="110" t="s">
        <v>68</v>
      </c>
      <c r="C16" s="111">
        <v>2.0</v>
      </c>
      <c r="D16" s="112" t="str">
        <f t="shared" si="1"/>
        <v>Simples</v>
      </c>
      <c r="E16" s="113" t="s">
        <v>69</v>
      </c>
      <c r="F16" s="1"/>
      <c r="G16" s="1"/>
      <c r="I16" s="1"/>
      <c r="J16" s="1"/>
      <c r="K16" s="1"/>
      <c r="L16" s="1"/>
      <c r="M16" s="1"/>
      <c r="N16" s="1"/>
      <c r="O16" s="1">
        <v>4.0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09"/>
      <c r="B17" s="110" t="s">
        <v>70</v>
      </c>
      <c r="C17" s="111">
        <v>1.0</v>
      </c>
      <c r="D17" s="112" t="str">
        <f t="shared" si="1"/>
        <v>Simples</v>
      </c>
      <c r="E17" s="113" t="s">
        <v>71</v>
      </c>
      <c r="F17" s="1"/>
      <c r="G17" s="1"/>
      <c r="I17" s="1"/>
      <c r="J17" s="1"/>
      <c r="K17" s="1"/>
      <c r="L17" s="1"/>
      <c r="M17" s="1"/>
      <c r="N17" s="1"/>
      <c r="O17" s="1">
        <v>5.0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09"/>
      <c r="B18" s="110" t="s">
        <v>72</v>
      </c>
      <c r="C18" s="111">
        <v>1.0</v>
      </c>
      <c r="D18" s="112" t="str">
        <f t="shared" si="1"/>
        <v>Simples</v>
      </c>
      <c r="E18" s="113" t="s">
        <v>71</v>
      </c>
      <c r="F18" s="1"/>
      <c r="G18" s="1"/>
      <c r="H18" s="1"/>
      <c r="I18" s="1"/>
      <c r="J18" s="1"/>
      <c r="K18" s="1"/>
      <c r="L18" s="1"/>
      <c r="M18" s="1"/>
      <c r="N18" s="1"/>
      <c r="O18" s="1">
        <v>6.0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09"/>
      <c r="B19" s="110" t="s">
        <v>73</v>
      </c>
      <c r="C19" s="111">
        <v>4.0</v>
      </c>
      <c r="D19" s="112" t="str">
        <f t="shared" si="1"/>
        <v>Médio</v>
      </c>
      <c r="E19" s="113" t="s">
        <v>74</v>
      </c>
      <c r="F19" s="1"/>
      <c r="G19" s="1"/>
      <c r="H19" s="1"/>
      <c r="I19" s="1"/>
      <c r="J19" s="1"/>
      <c r="K19" s="1"/>
      <c r="L19" s="1"/>
      <c r="M19" s="1"/>
      <c r="N19" s="1"/>
      <c r="O19" s="1">
        <v>7.0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09"/>
      <c r="B20" s="110" t="s">
        <v>75</v>
      </c>
      <c r="C20" s="111">
        <v>3.0</v>
      </c>
      <c r="D20" s="112" t="str">
        <f t="shared" si="1"/>
        <v>Simples</v>
      </c>
      <c r="E20" s="113" t="s">
        <v>76</v>
      </c>
      <c r="F20" s="1"/>
      <c r="G20" s="1"/>
      <c r="H20" s="1"/>
      <c r="I20" s="1"/>
      <c r="J20" s="1"/>
      <c r="K20" s="1"/>
      <c r="L20" s="1"/>
      <c r="M20" s="1"/>
      <c r="N20" s="1"/>
      <c r="O20" s="1">
        <v>8.0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09"/>
      <c r="B21" s="110" t="s">
        <v>77</v>
      </c>
      <c r="C21" s="111">
        <v>3.0</v>
      </c>
      <c r="D21" s="112" t="str">
        <f t="shared" si="1"/>
        <v>Simples</v>
      </c>
      <c r="E21" s="113" t="s">
        <v>76</v>
      </c>
      <c r="F21" s="1"/>
      <c r="G21" s="1"/>
      <c r="H21" s="1"/>
      <c r="I21" s="1"/>
      <c r="J21" s="1"/>
      <c r="K21" s="1"/>
      <c r="L21" s="1"/>
      <c r="M21" s="1"/>
      <c r="N21" s="1"/>
      <c r="O21" s="1">
        <v>9.0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09"/>
      <c r="B22" s="110" t="s">
        <v>78</v>
      </c>
      <c r="C22" s="111">
        <v>1.0</v>
      </c>
      <c r="D22" s="112" t="str">
        <f t="shared" si="1"/>
        <v>Simples</v>
      </c>
      <c r="E22" s="113" t="s">
        <v>79</v>
      </c>
      <c r="F22" s="1"/>
      <c r="G22" s="1"/>
      <c r="H22" s="1"/>
      <c r="I22" s="1"/>
      <c r="J22" s="1"/>
      <c r="K22" s="1"/>
      <c r="L22" s="1"/>
      <c r="M22" s="1"/>
      <c r="N22" s="1"/>
      <c r="O22" s="1">
        <v>10.0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09"/>
      <c r="B23" s="110" t="s">
        <v>80</v>
      </c>
      <c r="C23" s="111">
        <v>3.0</v>
      </c>
      <c r="D23" s="112" t="str">
        <f t="shared" si="1"/>
        <v>Simples</v>
      </c>
      <c r="E23" s="113" t="s">
        <v>81</v>
      </c>
      <c r="F23" s="1"/>
      <c r="G23" s="1"/>
      <c r="H23" s="1"/>
      <c r="I23" s="1"/>
      <c r="J23" s="1"/>
      <c r="K23" s="1"/>
      <c r="L23" s="1"/>
      <c r="M23" s="1"/>
      <c r="N23" s="1"/>
      <c r="O23" s="1">
        <v>11.0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09"/>
      <c r="B24" s="110" t="s">
        <v>82</v>
      </c>
      <c r="C24" s="111">
        <v>2.0</v>
      </c>
      <c r="D24" s="112" t="str">
        <f t="shared" si="1"/>
        <v>Simples</v>
      </c>
      <c r="E24" s="113" t="s">
        <v>83</v>
      </c>
      <c r="F24" s="1"/>
      <c r="G24" s="1"/>
      <c r="H24" s="1"/>
      <c r="I24" s="1"/>
      <c r="J24" s="1"/>
      <c r="K24" s="1"/>
      <c r="L24" s="1"/>
      <c r="M24" s="1"/>
      <c r="N24" s="1"/>
      <c r="O24" s="1">
        <v>12.0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09"/>
      <c r="B25" s="110" t="s">
        <v>84</v>
      </c>
      <c r="C25" s="111">
        <v>2.0</v>
      </c>
      <c r="D25" s="112" t="str">
        <f t="shared" si="1"/>
        <v>Simples</v>
      </c>
      <c r="E25" s="113" t="s">
        <v>83</v>
      </c>
      <c r="F25" s="1"/>
      <c r="G25" s="1"/>
      <c r="H25" s="1"/>
      <c r="I25" s="1"/>
      <c r="J25" s="1"/>
      <c r="K25" s="1"/>
      <c r="L25" s="1"/>
      <c r="M25" s="1"/>
      <c r="N25" s="1"/>
      <c r="O25" s="1">
        <v>13.0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09"/>
      <c r="B26" s="110" t="s">
        <v>85</v>
      </c>
      <c r="C26" s="111">
        <v>2.0</v>
      </c>
      <c r="D26" s="112" t="str">
        <f t="shared" si="1"/>
        <v>Simples</v>
      </c>
      <c r="E26" s="113" t="s">
        <v>83</v>
      </c>
      <c r="F26" s="1"/>
      <c r="G26" s="1"/>
      <c r="H26" s="1"/>
      <c r="I26" s="1"/>
      <c r="J26" s="1"/>
      <c r="K26" s="1"/>
      <c r="L26" s="1"/>
      <c r="M26" s="1"/>
      <c r="N26" s="1"/>
      <c r="O26" s="1">
        <v>14.0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09"/>
      <c r="B27" s="110" t="s">
        <v>86</v>
      </c>
      <c r="C27" s="111">
        <v>3.0</v>
      </c>
      <c r="D27" s="112" t="str">
        <f t="shared" si="1"/>
        <v>Simples</v>
      </c>
      <c r="E27" s="113" t="s">
        <v>87</v>
      </c>
      <c r="F27" s="1"/>
      <c r="G27" s="1"/>
      <c r="H27" s="1"/>
      <c r="I27" s="1"/>
      <c r="J27" s="1"/>
      <c r="K27" s="1"/>
      <c r="L27" s="1"/>
      <c r="M27" s="1"/>
      <c r="N27" s="1"/>
      <c r="O27" s="1">
        <v>15.0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09"/>
      <c r="B28" s="110" t="s">
        <v>88</v>
      </c>
      <c r="C28" s="111">
        <v>3.0</v>
      </c>
      <c r="D28" s="112" t="str">
        <f t="shared" si="1"/>
        <v>Simples</v>
      </c>
      <c r="E28" s="113" t="s">
        <v>89</v>
      </c>
      <c r="F28" s="1"/>
      <c r="G28" s="1"/>
      <c r="H28" s="1"/>
      <c r="I28" s="1"/>
      <c r="J28" s="1"/>
      <c r="K28" s="1"/>
      <c r="L28" s="1"/>
      <c r="M28" s="1"/>
      <c r="N28" s="1"/>
      <c r="O28" s="1">
        <v>16.0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09"/>
      <c r="B29" s="114" t="s">
        <v>90</v>
      </c>
      <c r="C29" s="111">
        <v>3.0</v>
      </c>
      <c r="D29" s="112" t="str">
        <f t="shared" si="1"/>
        <v>Simples</v>
      </c>
      <c r="E29" s="115" t="s">
        <v>91</v>
      </c>
      <c r="F29" s="1"/>
      <c r="G29" s="1"/>
      <c r="H29" s="1"/>
      <c r="I29" s="1"/>
      <c r="J29" s="1"/>
      <c r="K29" s="1"/>
      <c r="L29" s="1"/>
      <c r="M29" s="1"/>
      <c r="N29" s="1"/>
      <c r="O29" s="1">
        <v>17.0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09"/>
      <c r="B30" s="114" t="s">
        <v>92</v>
      </c>
      <c r="C30" s="111">
        <v>1.0</v>
      </c>
      <c r="D30" s="112" t="str">
        <f t="shared" si="1"/>
        <v>Simples</v>
      </c>
      <c r="E30" s="113" t="s">
        <v>91</v>
      </c>
      <c r="F30" s="1"/>
      <c r="G30" s="1"/>
      <c r="H30" s="1"/>
      <c r="I30" s="1"/>
      <c r="J30" s="1"/>
      <c r="K30" s="1"/>
      <c r="L30" s="1"/>
      <c r="M30" s="1"/>
      <c r="N30" s="1"/>
      <c r="O30" s="1">
        <v>18.0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09"/>
      <c r="B31" s="116" t="s">
        <v>93</v>
      </c>
      <c r="C31" s="117">
        <v>1.0</v>
      </c>
      <c r="D31" s="118" t="str">
        <f t="shared" si="1"/>
        <v>Simples</v>
      </c>
      <c r="E31" s="119" t="s">
        <v>91</v>
      </c>
      <c r="F31" s="1"/>
      <c r="G31" s="1"/>
      <c r="H31" s="1"/>
      <c r="I31" s="1"/>
      <c r="J31" s="1"/>
      <c r="K31" s="1"/>
      <c r="L31" s="1"/>
      <c r="M31" s="1"/>
      <c r="N31" s="1"/>
      <c r="O31" s="1">
        <v>21.0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09"/>
      <c r="B32" s="120"/>
      <c r="C32" s="71"/>
      <c r="D32" s="71"/>
      <c r="E32" s="121"/>
      <c r="F32" s="1"/>
      <c r="G32" s="1"/>
      <c r="H32" s="1"/>
      <c r="I32" s="1"/>
      <c r="J32" s="1"/>
      <c r="K32" s="1"/>
      <c r="L32" s="1"/>
      <c r="M32" s="1"/>
      <c r="N32" s="1"/>
      <c r="O32" s="1">
        <v>22.0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09"/>
      <c r="B33" s="120"/>
      <c r="C33" s="71"/>
      <c r="D33" s="71"/>
      <c r="E33" s="121"/>
      <c r="F33" s="1"/>
      <c r="G33" s="1"/>
      <c r="H33" s="1"/>
      <c r="I33" s="1"/>
      <c r="J33" s="1"/>
      <c r="K33" s="1"/>
      <c r="L33" s="1"/>
      <c r="M33" s="1"/>
      <c r="N33" s="1"/>
      <c r="O33" s="1">
        <v>23.0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09"/>
      <c r="B34" s="120"/>
      <c r="C34" s="71"/>
      <c r="D34" s="71"/>
      <c r="E34" s="121"/>
      <c r="F34" s="1"/>
      <c r="G34" s="1"/>
      <c r="H34" s="1"/>
      <c r="I34" s="1"/>
      <c r="J34" s="1"/>
      <c r="K34" s="1"/>
      <c r="L34" s="1"/>
      <c r="M34" s="1"/>
      <c r="N34" s="1"/>
      <c r="O34" s="1">
        <v>24.0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09"/>
      <c r="B35" s="120"/>
      <c r="C35" s="71"/>
      <c r="D35" s="71"/>
      <c r="E35" s="121"/>
      <c r="F35" s="1"/>
      <c r="G35" s="1"/>
      <c r="H35" s="1"/>
      <c r="I35" s="1"/>
      <c r="J35" s="1"/>
      <c r="K35" s="1"/>
      <c r="L35" s="1"/>
      <c r="M35" s="1"/>
      <c r="N35" s="1"/>
      <c r="O35" s="1">
        <v>25.0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09"/>
      <c r="B36" s="120"/>
      <c r="C36" s="71"/>
      <c r="D36" s="71"/>
      <c r="E36" s="121"/>
      <c r="F36" s="1"/>
      <c r="G36" s="1"/>
      <c r="H36" s="1"/>
      <c r="I36" s="1"/>
      <c r="J36" s="1"/>
      <c r="K36" s="1"/>
      <c r="L36" s="1"/>
      <c r="M36" s="1"/>
      <c r="N36" s="1"/>
      <c r="O36" s="1">
        <v>26.0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09"/>
      <c r="B37" s="120"/>
      <c r="C37" s="71"/>
      <c r="D37" s="71"/>
      <c r="E37" s="121"/>
      <c r="F37" s="1"/>
      <c r="G37" s="1"/>
      <c r="H37" s="1"/>
      <c r="I37" s="1"/>
      <c r="J37" s="1"/>
      <c r="K37" s="1"/>
      <c r="L37" s="1"/>
      <c r="M37" s="1"/>
      <c r="N37" s="1"/>
      <c r="O37" s="1">
        <v>27.0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09"/>
      <c r="B38" s="120"/>
      <c r="C38" s="71"/>
      <c r="D38" s="71"/>
      <c r="E38" s="121"/>
      <c r="F38" s="1"/>
      <c r="G38" s="1"/>
      <c r="H38" s="1"/>
      <c r="I38" s="1"/>
      <c r="J38" s="1"/>
      <c r="K38" s="1"/>
      <c r="L38" s="1"/>
      <c r="M38" s="1"/>
      <c r="N38" s="1"/>
      <c r="O38" s="1">
        <v>28.0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22" t="s">
        <v>51</v>
      </c>
      <c r="B39" s="122">
        <f>SUBTOTAL(103,B13:B38)</f>
        <v>19</v>
      </c>
      <c r="C39" s="123"/>
      <c r="D39" s="124"/>
      <c r="E39" s="124"/>
      <c r="F39" s="1"/>
      <c r="G39" s="1"/>
      <c r="H39" s="1"/>
      <c r="I39" s="1"/>
      <c r="J39" s="1"/>
      <c r="K39" s="1"/>
      <c r="L39" s="1"/>
      <c r="M39" s="1"/>
      <c r="N39" s="1"/>
      <c r="O39" s="1">
        <v>29.0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30.0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31.0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32.0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33.0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34.0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35.0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36.0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37.0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38.0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39.0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40.0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41.0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42.0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43.0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44.0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45.0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46.0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47.0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48.0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49.0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50.0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51.0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52.0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53.0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54.0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55.0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56.0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57.0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58.0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59.0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60.0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61.0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62.0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63.0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64.0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65.0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66.0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67.0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68.0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69.0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70.0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71.0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72.0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73.0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74.0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75.0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76.0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77.0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78.0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79.0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80.0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81.0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82.0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83.0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84.0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85.0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86.0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87.0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88.0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89.0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90.0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91.0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92.0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93.0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94.0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95.0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96.0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97.0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98.0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99.0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100.0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101.0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102.0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103.0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104.0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105.0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106.0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107.0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108.0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109.0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110.0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111.0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112.0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113.0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114.0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115.0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116.0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117.0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118.0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119.0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120.0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121.0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122.0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123.0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124.0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125.0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126.0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127.0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128.0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129.0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130.0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131.0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132.0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133.0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134.0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135.0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136.0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137.0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138.0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139.0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140.0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141.0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142.0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143.0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144.0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145.0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146.0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147.0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148.0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149.0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150.0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151.0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152.0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153.0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154.0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155.0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156.0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157.0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158.0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159.0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160.0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161.0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162.0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163.0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164.0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165.0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166.0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167.0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168.0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169.0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170.0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171.0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172.0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173.0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174.0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175.0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176.0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177.0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178.0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179.0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180.0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181.0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182.0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183.0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184.0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185.0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186.0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187.0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188.0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189.0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190.0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191.0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192.0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193.0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194.0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195.0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196.0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197.0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198.0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199.0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200.0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201.0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202.0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203.0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204.0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205.0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206.0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207.0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208.0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209.0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210.0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211.0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212.0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213.0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214.0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215.0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216.0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217.0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218.0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219.0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220.0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221.0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222.0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223.0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224.0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225.0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226.0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227.0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228.0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229.0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230.0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231.0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232.0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233.0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234.0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235.0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236.0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237.0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238.0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239.0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240.0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241.0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242.0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243.0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244.0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245.0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246.0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247.0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248.0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249.0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250.0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251.0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252.0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253.0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254.0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255.0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256.0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257.0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258.0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259.0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260.0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261.0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262.0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263.0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264.0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265.0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266.0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267.0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268.0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269.0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270.0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271.0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272.0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273.0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274.0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275.0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276.0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277.0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278.0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279.0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280.0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281.0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282.0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283.0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284.0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285.0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286.0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287.0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288.0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289.0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290.0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291.0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292.0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293.0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294.0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295.0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296.0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297.0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298.0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299.0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300.0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301.0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302.0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303.0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304.0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305.0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306.0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307.0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308.0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309.0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310.0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311.0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312.0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313.0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314.0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315.0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316.0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317.0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318.0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319.0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320.0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321.0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322.0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323.0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324.0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325.0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326.0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327.0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328.0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329.0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330.0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331.0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332.0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333.0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334.0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335.0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336.0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337.0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338.0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339.0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340.0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341.0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342.0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343.0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344.0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345.0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346.0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347.0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348.0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349.0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350.0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351.0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352.0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353.0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354.0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355.0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356.0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357.0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358.0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359.0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360.0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361.0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362.0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363.0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364.0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365.0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366.0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367.0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368.0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369.0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370.0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371.0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372.0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373.0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374.0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375.0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376.0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377.0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378.0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379.0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380.0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381.0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382.0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383.0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384.0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385.0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386.0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387.0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388.0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389.0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390.0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391.0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392.0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393.0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394.0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395.0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396.0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397.0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398.0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399.0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400.0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401.0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402.0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403.0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404.0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405.0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406.0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407.0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408.0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409.0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410.0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411.0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412.0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413.0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414.0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415.0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416.0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417.0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418.0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419.0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420.0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421.0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422.0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423.0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424.0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425.0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426.0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427.0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428.0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429.0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430.0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431.0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432.0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433.0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434.0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435.0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436.0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437.0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438.0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439.0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440.0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441.0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442.0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443.0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444.0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445.0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446.0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447.0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448.0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449.0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450.0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451.0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452.0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453.0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454.0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455.0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456.0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457.0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458.0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459.0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460.0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461.0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462.0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463.0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464.0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465.0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466.0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467.0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468.0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469.0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470.0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471.0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472.0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473.0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474.0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475.0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476.0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477.0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478.0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479.0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480.0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481.0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482.0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483.0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484.0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485.0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486.0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487.0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488.0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489.0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490.0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491.0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492.0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493.0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494.0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495.0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496.0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497.0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498.0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499.0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500.0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501.0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502.0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503.0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504.0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505.0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506.0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507.0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508.0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509.0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510.0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511.0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512.0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513.0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514.0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515.0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516.0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517.0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518.0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519.0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520.0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521.0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522.0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523.0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524.0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525.0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526.0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527.0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528.0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529.0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530.0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531.0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532.0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533.0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534.0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535.0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536.0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537.0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538.0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539.0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540.0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541.0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542.0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543.0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544.0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545.0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546.0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547.0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548.0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549.0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550.0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551.0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552.0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553.0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554.0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555.0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556.0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557.0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558.0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559.0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560.0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561.0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562.0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563.0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564.0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565.0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566.0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567.0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568.0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569.0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570.0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571.0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572.0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573.0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574.0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575.0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576.0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577.0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578.0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579.0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580.0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581.0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582.0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583.0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584.0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585.0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586.0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587.0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588.0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589.0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590.0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591.0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592.0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593.0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594.0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595.0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596.0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597.0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598.0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599.0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600.0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601.0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602.0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603.0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604.0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605.0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606.0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607.0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608.0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609.0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610.0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611.0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612.0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613.0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614.0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615.0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616.0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617.0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618.0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619.0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620.0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621.0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622.0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623.0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624.0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625.0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626.0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627.0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628.0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629.0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630.0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631.0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632.0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633.0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634.0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635.0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636.0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637.0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638.0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639.0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640.0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641.0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642.0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643.0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644.0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645.0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646.0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647.0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648.0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649.0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650.0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651.0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652.0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653.0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654.0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655.0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656.0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657.0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658.0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659.0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660.0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661.0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662.0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663.0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664.0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665.0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666.0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667.0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668.0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669.0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670.0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671.0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672.0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673.0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674.0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675.0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676.0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677.0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678.0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679.0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680.0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681.0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682.0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683.0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684.0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685.0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686.0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687.0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688.0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689.0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690.0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691.0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692.0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693.0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694.0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695.0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696.0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697.0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698.0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699.0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700.0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701.0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702.0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703.0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704.0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705.0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706.0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707.0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708.0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709.0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710.0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711.0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712.0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713.0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714.0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715.0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716.0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717.0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718.0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719.0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720.0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721.0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722.0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723.0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724.0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725.0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726.0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727.0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728.0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729.0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730.0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731.0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732.0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733.0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734.0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735.0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736.0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737.0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738.0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739.0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740.0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741.0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742.0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743.0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744.0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745.0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746.0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747.0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748.0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749.0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750.0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751.0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752.0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753.0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754.0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755.0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756.0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757.0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758.0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759.0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760.0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761.0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762.0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763.0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764.0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765.0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766.0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767.0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768.0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769.0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770.0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771.0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772.0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773.0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774.0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775.0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776.0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777.0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778.0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779.0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780.0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781.0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782.0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783.0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784.0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785.0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786.0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787.0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788.0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789.0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790.0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791.0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792.0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793.0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794.0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795.0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796.0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797.0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798.0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799.0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800.0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801.0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802.0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803.0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804.0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805.0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806.0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807.0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808.0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809.0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810.0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811.0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812.0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813.0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814.0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815.0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816.0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817.0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818.0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819.0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820.0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821.0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822.0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823.0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824.0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825.0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826.0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827.0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828.0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829.0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830.0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831.0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832.0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833.0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834.0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835.0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836.0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837.0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838.0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839.0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840.0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841.0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842.0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843.0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844.0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845.0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846.0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847.0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848.0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849.0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850.0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851.0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852.0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853.0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854.0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855.0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856.0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857.0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858.0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859.0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860.0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861.0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862.0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863.0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864.0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865.0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866.0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867.0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868.0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869.0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870.0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871.0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872.0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873.0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874.0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875.0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876.0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877.0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878.0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879.0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880.0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881.0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882.0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883.0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884.0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885.0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886.0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887.0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888.0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889.0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890.0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891.0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892.0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893.0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894.0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895.0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896.0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897.0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898.0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899.0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900.0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901.0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902.0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903.0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904.0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905.0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906.0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907.0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908.0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909.0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910.0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911.0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912.0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913.0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914.0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915.0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916.0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917.0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918.0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919.0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920.0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921.0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922.0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923.0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924.0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925.0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926.0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927.0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928.0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929.0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930.0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931.0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932.0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933.0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934.0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935.0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936.0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937.0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938.0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939.0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940.0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941.0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942.0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943.0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944.0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945.0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946.0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947.0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948.0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949.0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950.0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951.0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952.0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953.0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954.0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955.0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956.0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957.0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958.0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959.0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960.0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961.0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962.0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963.0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964.0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965.0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966.0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967.0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968.0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969.0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970.0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971.0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972.0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973.0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974.0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975.0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976.0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977.0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978.0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979.0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980.0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981.0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982.0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983.0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984.0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985.0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986.0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987.0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988.0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989.0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990.0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991.0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992.0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993.0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994.0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995.0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996.0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997.0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>
        <v>998.0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>
        <v>999.0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mergeCells count="2">
    <mergeCell ref="B2:D2"/>
    <mergeCell ref="A11:C11"/>
  </mergeCells>
  <dataValidations>
    <dataValidation type="custom" allowBlank="1" showErrorMessage="1" sqref="B13:B38">
      <formula1>AND(GTE(LEN(B13),MIN((1),(100))),LTE(LEN(B13),MAX((1),(100))))</formula1>
    </dataValidation>
    <dataValidation type="list" allowBlank="1" showErrorMessage="1" sqref="D13:D38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1" t="s">
        <v>94</v>
      </c>
      <c r="C4" s="92"/>
      <c r="D4" s="92"/>
      <c r="E4" s="9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25" t="s">
        <v>95</v>
      </c>
      <c r="C7" s="50"/>
      <c r="D7" s="50"/>
      <c r="E7" s="5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26" t="s">
        <v>59</v>
      </c>
      <c r="C8" s="127" t="s">
        <v>35</v>
      </c>
      <c r="D8" s="127" t="s">
        <v>33</v>
      </c>
      <c r="E8" s="127" t="s">
        <v>96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5" t="s">
        <v>97</v>
      </c>
      <c r="C9" s="128" t="s">
        <v>98</v>
      </c>
      <c r="D9" s="75">
        <v>2.0</v>
      </c>
      <c r="E9" s="75">
        <v>0.0</v>
      </c>
      <c r="H9" s="1"/>
      <c r="I9" s="1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75" t="s">
        <v>99</v>
      </c>
      <c r="C10" s="128" t="s">
        <v>100</v>
      </c>
      <c r="D10" s="75">
        <v>1.0</v>
      </c>
      <c r="E10" s="87">
        <v>4.0</v>
      </c>
      <c r="H10" s="1"/>
      <c r="I10" s="12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75" t="s">
        <v>101</v>
      </c>
      <c r="C11" s="128" t="s">
        <v>102</v>
      </c>
      <c r="D11" s="75">
        <v>1.0</v>
      </c>
      <c r="E11" s="75">
        <v>0.0</v>
      </c>
      <c r="H11" s="1"/>
      <c r="I11" s="12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75" t="s">
        <v>103</v>
      </c>
      <c r="C12" s="128" t="s">
        <v>104</v>
      </c>
      <c r="D12" s="75">
        <v>1.0</v>
      </c>
      <c r="E12" s="87">
        <v>1.0</v>
      </c>
      <c r="H12" s="1"/>
      <c r="I12" s="12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5" t="s">
        <v>105</v>
      </c>
      <c r="C13" s="128" t="s">
        <v>106</v>
      </c>
      <c r="D13" s="75">
        <v>1.0</v>
      </c>
      <c r="E13" s="75">
        <v>0.0</v>
      </c>
      <c r="H13" s="1"/>
      <c r="I13" s="12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5" t="s">
        <v>107</v>
      </c>
      <c r="C14" s="128" t="s">
        <v>108</v>
      </c>
      <c r="D14" s="75">
        <v>0.5</v>
      </c>
      <c r="E14" s="87">
        <v>5.0</v>
      </c>
      <c r="H14" s="1"/>
      <c r="I14" s="12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75" t="s">
        <v>109</v>
      </c>
      <c r="C15" s="128" t="s">
        <v>110</v>
      </c>
      <c r="D15" s="75">
        <v>0.5</v>
      </c>
      <c r="E15" s="87">
        <v>5.0</v>
      </c>
      <c r="H15" s="1"/>
      <c r="I15" s="12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5" t="s">
        <v>111</v>
      </c>
      <c r="C16" s="128" t="s">
        <v>112</v>
      </c>
      <c r="D16" s="75">
        <v>2.0</v>
      </c>
      <c r="E16" s="87">
        <v>3.0</v>
      </c>
      <c r="H16" s="1"/>
      <c r="I16" s="12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75" t="s">
        <v>113</v>
      </c>
      <c r="C17" s="128" t="s">
        <v>114</v>
      </c>
      <c r="D17" s="75">
        <v>1.0</v>
      </c>
      <c r="E17" s="87">
        <v>1.0</v>
      </c>
      <c r="H17" s="1"/>
      <c r="I17" s="1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75" t="s">
        <v>115</v>
      </c>
      <c r="C18" s="128" t="s">
        <v>116</v>
      </c>
      <c r="D18" s="75">
        <v>1.0</v>
      </c>
      <c r="E18" s="75">
        <v>0.0</v>
      </c>
      <c r="H18" s="1"/>
      <c r="I18" s="12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75" t="s">
        <v>117</v>
      </c>
      <c r="C19" s="128" t="s">
        <v>118</v>
      </c>
      <c r="D19" s="75">
        <v>1.0</v>
      </c>
      <c r="E19" s="87">
        <v>2.0</v>
      </c>
      <c r="H19" s="1"/>
      <c r="I19" s="12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75" t="s">
        <v>119</v>
      </c>
      <c r="C20" s="128" t="s">
        <v>120</v>
      </c>
      <c r="D20" s="75">
        <v>1.0</v>
      </c>
      <c r="E20" s="75">
        <v>0.0</v>
      </c>
      <c r="H20" s="1"/>
      <c r="I20" s="12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75" t="s">
        <v>121</v>
      </c>
      <c r="C21" s="128" t="s">
        <v>122</v>
      </c>
      <c r="D21" s="75">
        <v>1.0</v>
      </c>
      <c r="E21" s="87">
        <v>2.0</v>
      </c>
      <c r="H21" s="1"/>
      <c r="I21" s="12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0" t="s">
        <v>123</v>
      </c>
      <c r="C22" s="50"/>
      <c r="D22" s="51"/>
      <c r="E22" s="90">
        <f>0.6+(0.01*SUM(D9*E9,D10*E10,D11*E11,D12*E12,D13*E13,D14*E14,D15*E15,D16*E16,D17*E17,D18*E18,D19*E19,D20*E20,D21*E21))</f>
        <v>0.81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25" t="s">
        <v>124</v>
      </c>
      <c r="C26" s="50"/>
      <c r="D26" s="50"/>
      <c r="E26" s="131"/>
      <c r="F26" s="132"/>
      <c r="G26" s="133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4" t="s">
        <v>59</v>
      </c>
      <c r="C27" s="135" t="s">
        <v>35</v>
      </c>
      <c r="D27" s="40"/>
      <c r="E27" s="41"/>
      <c r="F27" s="134" t="s">
        <v>33</v>
      </c>
      <c r="G27" s="134" t="s">
        <v>96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75" t="s">
        <v>125</v>
      </c>
      <c r="C28" s="136" t="s">
        <v>126</v>
      </c>
      <c r="D28" s="50"/>
      <c r="E28" s="51"/>
      <c r="F28" s="75">
        <v>1.5</v>
      </c>
      <c r="G28" s="87">
        <v>4.0</v>
      </c>
      <c r="H28" s="1"/>
      <c r="I28" s="12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75" t="s">
        <v>127</v>
      </c>
      <c r="C29" s="136" t="s">
        <v>128</v>
      </c>
      <c r="D29" s="50"/>
      <c r="E29" s="51"/>
      <c r="F29" s="75">
        <v>0.5</v>
      </c>
      <c r="G29" s="87">
        <v>5.0</v>
      </c>
      <c r="H29" s="1"/>
      <c r="I29" s="12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75" t="s">
        <v>129</v>
      </c>
      <c r="C30" s="136" t="s">
        <v>130</v>
      </c>
      <c r="D30" s="50"/>
      <c r="E30" s="51"/>
      <c r="F30" s="75">
        <v>1.0</v>
      </c>
      <c r="G30" s="87">
        <v>4.0</v>
      </c>
      <c r="H30" s="1"/>
      <c r="I30" s="12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75" t="s">
        <v>131</v>
      </c>
      <c r="C31" s="136" t="s">
        <v>132</v>
      </c>
      <c r="D31" s="50"/>
      <c r="E31" s="51"/>
      <c r="F31" s="75">
        <v>0.5</v>
      </c>
      <c r="G31" s="87">
        <v>2.0</v>
      </c>
      <c r="H31" s="1"/>
      <c r="I31" s="12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75" t="s">
        <v>133</v>
      </c>
      <c r="C32" s="136" t="s">
        <v>134</v>
      </c>
      <c r="D32" s="50"/>
      <c r="E32" s="51"/>
      <c r="F32" s="75">
        <v>1.0</v>
      </c>
      <c r="G32" s="87">
        <v>1.0</v>
      </c>
      <c r="H32" s="1"/>
      <c r="I32" s="12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75" t="s">
        <v>135</v>
      </c>
      <c r="C33" s="136" t="s">
        <v>136</v>
      </c>
      <c r="D33" s="50"/>
      <c r="E33" s="51"/>
      <c r="F33" s="75">
        <v>2.0</v>
      </c>
      <c r="G33" s="87">
        <v>3.0</v>
      </c>
      <c r="H33" s="1"/>
      <c r="I33" s="12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75" t="s">
        <v>137</v>
      </c>
      <c r="C34" s="136" t="s">
        <v>138</v>
      </c>
      <c r="D34" s="50"/>
      <c r="E34" s="51"/>
      <c r="F34" s="75">
        <v>-1.0</v>
      </c>
      <c r="G34" s="87">
        <v>5.0</v>
      </c>
      <c r="H34" s="1"/>
      <c r="I34" s="12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75" t="s">
        <v>139</v>
      </c>
      <c r="C35" s="136" t="s">
        <v>140</v>
      </c>
      <c r="D35" s="50"/>
      <c r="E35" s="51"/>
      <c r="F35" s="75">
        <v>-1.0</v>
      </c>
      <c r="G35" s="75">
        <v>0.0</v>
      </c>
      <c r="H35" s="1"/>
      <c r="I35" s="12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0" t="s">
        <v>141</v>
      </c>
      <c r="C36" s="50"/>
      <c r="D36" s="50"/>
      <c r="E36" s="50"/>
      <c r="F36" s="51"/>
      <c r="G36" s="85">
        <f>1.4+(-0.03*SUM(F28*G28,F29*G29,F30*G30,F31*G31,F32*G32,F33*G33,F34*G34,F35*G35))</f>
        <v>0.935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12.75" customHeight="1">
      <c r="A1" s="1"/>
      <c r="B1" s="137" t="s">
        <v>142</v>
      </c>
      <c r="C1" s="92"/>
      <c r="D1" s="92"/>
      <c r="E1" s="92"/>
      <c r="F1" s="92"/>
      <c r="G1" s="92"/>
      <c r="H1" s="92"/>
      <c r="I1" s="92"/>
      <c r="J1" s="92"/>
      <c r="K1" s="92"/>
      <c r="L1" s="93"/>
      <c r="M1" s="13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39" t="s">
        <v>143</v>
      </c>
      <c r="C5" s="140" t="s">
        <v>144</v>
      </c>
      <c r="D5" s="140" t="s">
        <v>145</v>
      </c>
      <c r="E5" s="141" t="s">
        <v>146</v>
      </c>
      <c r="F5" s="141" t="s">
        <v>147</v>
      </c>
      <c r="G5" s="141" t="s">
        <v>148</v>
      </c>
      <c r="H5" s="141" t="s">
        <v>149</v>
      </c>
      <c r="I5" s="141" t="s">
        <v>150</v>
      </c>
      <c r="J5" s="141" t="s">
        <v>151</v>
      </c>
      <c r="K5" s="141" t="s">
        <v>152</v>
      </c>
      <c r="L5" s="142" t="s">
        <v>153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43" t="s">
        <v>154</v>
      </c>
      <c r="C6" s="99">
        <v>190.0</v>
      </c>
      <c r="D6" s="75">
        <f t="shared" ref="D6:D9" si="1">SUM(E6:K6)</f>
        <v>589</v>
      </c>
      <c r="E6" s="144">
        <v>25.0</v>
      </c>
      <c r="F6" s="144">
        <v>80.0</v>
      </c>
      <c r="G6" s="144">
        <v>25.0</v>
      </c>
      <c r="H6" s="144">
        <v>400.0</v>
      </c>
      <c r="I6" s="144">
        <v>10.0</v>
      </c>
      <c r="J6" s="144">
        <v>25.0</v>
      </c>
      <c r="K6" s="144">
        <v>24.0</v>
      </c>
      <c r="L6" s="145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43" t="s">
        <v>155</v>
      </c>
      <c r="C7" s="75">
        <v>130.0</v>
      </c>
      <c r="D7" s="75">
        <f t="shared" si="1"/>
        <v>326</v>
      </c>
      <c r="E7" s="146">
        <v>20.0</v>
      </c>
      <c r="F7" s="146">
        <v>120.0</v>
      </c>
      <c r="G7" s="146">
        <v>30.0</v>
      </c>
      <c r="H7" s="146">
        <v>100.0</v>
      </c>
      <c r="I7" s="146">
        <v>10.0</v>
      </c>
      <c r="J7" s="146">
        <v>30.0</v>
      </c>
      <c r="K7" s="146">
        <v>16.0</v>
      </c>
      <c r="L7" s="145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43" t="s">
        <v>156</v>
      </c>
      <c r="C8" s="75">
        <v>140.0</v>
      </c>
      <c r="D8" s="75">
        <f t="shared" si="1"/>
        <v>399</v>
      </c>
      <c r="E8" s="147">
        <v>17.0</v>
      </c>
      <c r="F8" s="147">
        <v>90.0</v>
      </c>
      <c r="G8" s="147">
        <v>32.0</v>
      </c>
      <c r="H8" s="147">
        <v>200.0</v>
      </c>
      <c r="I8" s="147">
        <v>12.0</v>
      </c>
      <c r="J8" s="147">
        <v>32.0</v>
      </c>
      <c r="K8" s="147">
        <v>16.0</v>
      </c>
      <c r="L8" s="145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43" t="s">
        <v>157</v>
      </c>
      <c r="C9" s="75">
        <v>125.0</v>
      </c>
      <c r="D9" s="75">
        <f t="shared" si="1"/>
        <v>486</v>
      </c>
      <c r="E9" s="146">
        <v>22.0</v>
      </c>
      <c r="F9" s="146">
        <v>80.0</v>
      </c>
      <c r="G9" s="146">
        <v>33.0</v>
      </c>
      <c r="H9" s="146">
        <v>300.0</v>
      </c>
      <c r="I9" s="146">
        <v>8.0</v>
      </c>
      <c r="J9" s="146">
        <v>35.0</v>
      </c>
      <c r="K9" s="146">
        <v>8.0</v>
      </c>
      <c r="L9" s="145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48"/>
      <c r="C10" s="75"/>
      <c r="D10" s="75"/>
      <c r="E10" s="146"/>
      <c r="F10" s="146"/>
      <c r="G10" s="146"/>
      <c r="H10" s="146"/>
      <c r="I10" s="146"/>
      <c r="J10" s="146"/>
      <c r="K10" s="146"/>
      <c r="L10" s="14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48"/>
      <c r="C11" s="75"/>
      <c r="D11" s="75"/>
      <c r="E11" s="146"/>
      <c r="F11" s="146"/>
      <c r="G11" s="146"/>
      <c r="H11" s="146"/>
      <c r="I11" s="146"/>
      <c r="J11" s="146"/>
      <c r="K11" s="146"/>
      <c r="L11" s="14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48"/>
      <c r="C12" s="75"/>
      <c r="D12" s="75"/>
      <c r="E12" s="146"/>
      <c r="F12" s="146"/>
      <c r="G12" s="146"/>
      <c r="H12" s="146"/>
      <c r="I12" s="146"/>
      <c r="J12" s="146"/>
      <c r="K12" s="146"/>
      <c r="L12" s="14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48"/>
      <c r="C13" s="75"/>
      <c r="D13" s="75"/>
      <c r="E13" s="146"/>
      <c r="F13" s="146"/>
      <c r="G13" s="146"/>
      <c r="H13" s="146"/>
      <c r="I13" s="146"/>
      <c r="J13" s="146"/>
      <c r="K13" s="146"/>
      <c r="L13" s="14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48"/>
      <c r="C14" s="75"/>
      <c r="D14" s="75"/>
      <c r="E14" s="146"/>
      <c r="F14" s="146"/>
      <c r="G14" s="146"/>
      <c r="H14" s="146"/>
      <c r="I14" s="146"/>
      <c r="J14" s="146"/>
      <c r="K14" s="146"/>
      <c r="L14" s="14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48"/>
      <c r="C15" s="75"/>
      <c r="D15" s="75"/>
      <c r="E15" s="146"/>
      <c r="F15" s="146"/>
      <c r="G15" s="146"/>
      <c r="H15" s="146"/>
      <c r="I15" s="146"/>
      <c r="J15" s="146"/>
      <c r="K15" s="146"/>
      <c r="L15" s="14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48"/>
      <c r="C16" s="75"/>
      <c r="D16" s="75"/>
      <c r="E16" s="146"/>
      <c r="F16" s="146"/>
      <c r="G16" s="146"/>
      <c r="H16" s="146"/>
      <c r="I16" s="146"/>
      <c r="J16" s="146"/>
      <c r="K16" s="146"/>
      <c r="L16" s="14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48"/>
      <c r="C17" s="75"/>
      <c r="D17" s="75"/>
      <c r="E17" s="146"/>
      <c r="F17" s="146"/>
      <c r="G17" s="146"/>
      <c r="H17" s="146"/>
      <c r="I17" s="146"/>
      <c r="J17" s="146"/>
      <c r="K17" s="146"/>
      <c r="L17" s="14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48"/>
      <c r="C18" s="75"/>
      <c r="D18" s="75"/>
      <c r="E18" s="146"/>
      <c r="F18" s="146"/>
      <c r="G18" s="146"/>
      <c r="H18" s="146"/>
      <c r="I18" s="146"/>
      <c r="J18" s="146"/>
      <c r="K18" s="146"/>
      <c r="L18" s="14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48"/>
      <c r="C19" s="75"/>
      <c r="D19" s="75"/>
      <c r="E19" s="146"/>
      <c r="F19" s="146"/>
      <c r="G19" s="146"/>
      <c r="H19" s="146"/>
      <c r="I19" s="146"/>
      <c r="J19" s="146"/>
      <c r="K19" s="146"/>
      <c r="L19" s="14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48"/>
      <c r="C20" s="75"/>
      <c r="D20" s="75"/>
      <c r="E20" s="146"/>
      <c r="F20" s="146"/>
      <c r="G20" s="146"/>
      <c r="H20" s="146"/>
      <c r="I20" s="146"/>
      <c r="J20" s="146"/>
      <c r="K20" s="146"/>
      <c r="L20" s="14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48"/>
      <c r="C21" s="75"/>
      <c r="D21" s="75"/>
      <c r="E21" s="146"/>
      <c r="F21" s="146"/>
      <c r="G21" s="146"/>
      <c r="H21" s="146"/>
      <c r="I21" s="146"/>
      <c r="J21" s="146"/>
      <c r="K21" s="146"/>
      <c r="L21" s="14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48"/>
      <c r="C22" s="75"/>
      <c r="D22" s="75"/>
      <c r="E22" s="146"/>
      <c r="F22" s="146"/>
      <c r="G22" s="146"/>
      <c r="H22" s="146"/>
      <c r="I22" s="146"/>
      <c r="J22" s="146"/>
      <c r="K22" s="146"/>
      <c r="L22" s="14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48"/>
      <c r="C23" s="75"/>
      <c r="D23" s="75"/>
      <c r="E23" s="146"/>
      <c r="F23" s="146"/>
      <c r="G23" s="146"/>
      <c r="H23" s="146"/>
      <c r="I23" s="146"/>
      <c r="J23" s="146"/>
      <c r="K23" s="146"/>
      <c r="L23" s="14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48"/>
      <c r="C24" s="75"/>
      <c r="D24" s="75"/>
      <c r="E24" s="146"/>
      <c r="F24" s="146"/>
      <c r="G24" s="146"/>
      <c r="H24" s="146"/>
      <c r="I24" s="146"/>
      <c r="J24" s="146"/>
      <c r="K24" s="146"/>
      <c r="L24" s="14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48"/>
      <c r="C25" s="75"/>
      <c r="D25" s="75"/>
      <c r="E25" s="146"/>
      <c r="F25" s="146"/>
      <c r="G25" s="146"/>
      <c r="H25" s="146"/>
      <c r="I25" s="146"/>
      <c r="J25" s="146"/>
      <c r="K25" s="146"/>
      <c r="L25" s="14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48"/>
      <c r="C26" s="75"/>
      <c r="D26" s="75"/>
      <c r="E26" s="146"/>
      <c r="F26" s="146"/>
      <c r="G26" s="146"/>
      <c r="H26" s="146"/>
      <c r="I26" s="146"/>
      <c r="J26" s="146"/>
      <c r="K26" s="146"/>
      <c r="L26" s="14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48"/>
      <c r="C27" s="75"/>
      <c r="D27" s="75"/>
      <c r="E27" s="146"/>
      <c r="F27" s="146"/>
      <c r="G27" s="146"/>
      <c r="H27" s="146"/>
      <c r="I27" s="146"/>
      <c r="J27" s="146"/>
      <c r="K27" s="146"/>
      <c r="L27" s="14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50"/>
      <c r="C28" s="79"/>
      <c r="D28" s="79"/>
      <c r="E28" s="151"/>
      <c r="F28" s="151"/>
      <c r="G28" s="151"/>
      <c r="H28" s="151"/>
      <c r="I28" s="151"/>
      <c r="J28" s="151"/>
      <c r="K28" s="151"/>
      <c r="L28" s="3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65" t="s">
        <v>158</v>
      </c>
      <c r="C29" s="152"/>
      <c r="D29" s="152">
        <f t="shared" ref="D29:K29" si="3">SUM(D6:D28)</f>
        <v>1800</v>
      </c>
      <c r="E29" s="152">
        <f t="shared" si="3"/>
        <v>84</v>
      </c>
      <c r="F29" s="152">
        <f t="shared" si="3"/>
        <v>370</v>
      </c>
      <c r="G29" s="152">
        <f t="shared" si="3"/>
        <v>120</v>
      </c>
      <c r="H29" s="152">
        <f t="shared" si="3"/>
        <v>1000</v>
      </c>
      <c r="I29" s="152">
        <f t="shared" si="3"/>
        <v>40</v>
      </c>
      <c r="J29" s="152">
        <f t="shared" si="3"/>
        <v>122</v>
      </c>
      <c r="K29" s="152">
        <f t="shared" si="3"/>
        <v>64</v>
      </c>
      <c r="L29" s="15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54" t="s">
        <v>159</v>
      </c>
      <c r="K30" s="24"/>
      <c r="L30" s="155">
        <v>3.0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56" t="s">
        <v>160</v>
      </c>
      <c r="C31" s="157"/>
      <c r="D31" s="158"/>
      <c r="E31" s="159">
        <f t="shared" ref="E31:K31" si="4">(E29*1)/$D$29</f>
        <v>0.04666666667</v>
      </c>
      <c r="F31" s="159">
        <f t="shared" si="4"/>
        <v>0.2055555556</v>
      </c>
      <c r="G31" s="159">
        <f t="shared" si="4"/>
        <v>0.06666666667</v>
      </c>
      <c r="H31" s="159">
        <f t="shared" si="4"/>
        <v>0.5555555556</v>
      </c>
      <c r="I31" s="159">
        <f t="shared" si="4"/>
        <v>0.02222222222</v>
      </c>
      <c r="J31" s="159">
        <f t="shared" si="4"/>
        <v>0.06777777778</v>
      </c>
      <c r="K31" s="159">
        <f t="shared" si="4"/>
        <v>0.03555555556</v>
      </c>
      <c r="L31" s="160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3.0"/>
    <col customWidth="1" min="3" max="3" width="15.75"/>
    <col customWidth="1" min="4" max="4" width="14.88"/>
    <col customWidth="1" min="5" max="5" width="12.38"/>
    <col customWidth="1" min="6" max="6" width="15.0"/>
  </cols>
  <sheetData>
    <row r="1">
      <c r="A1" s="161" t="s">
        <v>59</v>
      </c>
      <c r="B1" s="161" t="s">
        <v>161</v>
      </c>
      <c r="C1" s="161" t="s">
        <v>162</v>
      </c>
      <c r="D1" s="161" t="s">
        <v>163</v>
      </c>
      <c r="E1" s="161" t="s">
        <v>164</v>
      </c>
      <c r="F1" s="161" t="s">
        <v>165</v>
      </c>
      <c r="G1" s="161" t="s">
        <v>166</v>
      </c>
      <c r="H1" s="161" t="s">
        <v>167</v>
      </c>
    </row>
    <row r="2">
      <c r="A2" s="161">
        <v>1.0</v>
      </c>
      <c r="B2" s="161" t="s">
        <v>146</v>
      </c>
      <c r="C2" s="161">
        <v>16.0</v>
      </c>
      <c r="D2" s="161">
        <v>4.0</v>
      </c>
    </row>
    <row r="3">
      <c r="A3" s="161">
        <v>2.0</v>
      </c>
      <c r="B3" s="161" t="s">
        <v>168</v>
      </c>
      <c r="C3" s="161">
        <v>56.0</v>
      </c>
      <c r="D3" s="161">
        <v>14.0</v>
      </c>
      <c r="F3" s="161">
        <v>1.0</v>
      </c>
      <c r="I3" s="162">
        <f>PRODUCT(DIVIDE(Geral!$J$17,$J$43),J3)</f>
        <v>13.09090909</v>
      </c>
      <c r="J3" s="161">
        <v>16.0</v>
      </c>
    </row>
    <row r="4">
      <c r="A4" s="161">
        <v>3.0</v>
      </c>
      <c r="B4" s="161" t="s">
        <v>169</v>
      </c>
      <c r="C4" s="161">
        <v>14.0</v>
      </c>
      <c r="D4" s="161">
        <v>3.0</v>
      </c>
      <c r="F4" s="161">
        <v>2.0</v>
      </c>
      <c r="I4" s="162">
        <f>PRODUCT(DIVIDE(Geral!$J$17,$J$43),J4)</f>
        <v>4.090909091</v>
      </c>
      <c r="J4" s="161">
        <v>5.0</v>
      </c>
    </row>
    <row r="5">
      <c r="A5" s="161">
        <v>4.0</v>
      </c>
      <c r="B5" s="161" t="s">
        <v>148</v>
      </c>
      <c r="C5" s="161">
        <v>22.0</v>
      </c>
      <c r="D5" s="161">
        <v>6.0</v>
      </c>
      <c r="F5" s="162">
        <v>3.0</v>
      </c>
      <c r="I5" s="162">
        <f>PRODUCT(DIVIDE(Geral!$J$17,$J$43),J5)</f>
        <v>6.545454545</v>
      </c>
      <c r="J5" s="161">
        <v>8.0</v>
      </c>
    </row>
    <row r="6">
      <c r="A6" s="161">
        <v>5.0</v>
      </c>
      <c r="B6" s="161" t="s">
        <v>170</v>
      </c>
      <c r="C6" s="162">
        <f>(Atores!$D$10 + IF(EQ(UC!D13,"Simples"),5, IF(EQ(UC!D13,"Média"),10,15))) * Fatores!$E$22 * Fatores!$G$36 * dadoshistoricos!$H$31</f>
        <v>5.46975</v>
      </c>
      <c r="D6" s="161">
        <v>4.0</v>
      </c>
      <c r="F6" s="162">
        <v>4.0</v>
      </c>
      <c r="I6" s="162">
        <f>PRODUCT(DIVIDE(Geral!$J$17,$J$43),J6)</f>
        <v>4.909090909</v>
      </c>
      <c r="J6" s="161">
        <v>6.0</v>
      </c>
    </row>
    <row r="7">
      <c r="A7" s="161">
        <v>6.0</v>
      </c>
      <c r="B7" s="161" t="s">
        <v>171</v>
      </c>
      <c r="C7" s="162">
        <f>(Atores!$D$10 + IF(EQ(UC!D14,"Simples"),5, IF(EQ(UC!D14,"Média"),10,15))) * Fatores!$E$22 * Fatores!$G$36 * dadoshistoricos!$H$31</f>
        <v>5.46975</v>
      </c>
      <c r="D7" s="161">
        <v>1.0</v>
      </c>
      <c r="F7" s="162">
        <v>5.0</v>
      </c>
      <c r="I7" s="162">
        <f>PRODUCT(DIVIDE(Geral!$J$17,$J$43),J7)</f>
        <v>4.090909091</v>
      </c>
      <c r="J7" s="161">
        <v>5.0</v>
      </c>
    </row>
    <row r="8">
      <c r="A8" s="161">
        <v>7.0</v>
      </c>
      <c r="B8" s="161" t="s">
        <v>172</v>
      </c>
      <c r="C8" s="162">
        <f>(Atores!$D$10 + IF(EQ(UC!D15,"Simples"),5, IF(EQ(UC!D15,"Média"),10,15))) * Fatores!$E$22 * Fatores!$G$36 * dadoshistoricos!$H$31</f>
        <v>5.46975</v>
      </c>
      <c r="D8" s="161">
        <v>2.0</v>
      </c>
      <c r="F8" s="161">
        <v>5.0</v>
      </c>
      <c r="I8" s="162">
        <f>PRODUCT(DIVIDE(Geral!$J$17,$J$43),J8)</f>
        <v>4.090909091</v>
      </c>
      <c r="J8" s="161">
        <v>5.0</v>
      </c>
    </row>
    <row r="9">
      <c r="A9" s="161">
        <v>8.0</v>
      </c>
      <c r="B9" s="161" t="s">
        <v>173</v>
      </c>
      <c r="C9" s="162">
        <f>(Atores!$D$10 + IF(EQ(UC!D16,"Simples"),5, IF(EQ(UC!D16,"Média"),10,15))) * Fatores!$E$22 * Fatores!$G$36 * dadoshistoricos!$H$31</f>
        <v>5.46975</v>
      </c>
      <c r="D9" s="161">
        <v>1.0</v>
      </c>
      <c r="F9" s="162">
        <v>5.0</v>
      </c>
      <c r="I9" s="162">
        <f>PRODUCT(DIVIDE(Geral!$J$17,$J$43),J9)</f>
        <v>4.090909091</v>
      </c>
      <c r="J9" s="161">
        <v>5.0</v>
      </c>
    </row>
    <row r="10">
      <c r="A10" s="161">
        <v>9.0</v>
      </c>
      <c r="B10" s="161" t="s">
        <v>174</v>
      </c>
      <c r="C10" s="162">
        <f>(Atores!$D$10 + IF(EQ(UC!D17,"Simples"),5, IF(EQ(UC!D17,"Média"),10,15))) * Fatores!$E$22 * Fatores!$G$36 * dadoshistoricos!$H$31</f>
        <v>5.46975</v>
      </c>
      <c r="D10" s="161">
        <v>1.0</v>
      </c>
      <c r="F10" s="162">
        <v>8.0</v>
      </c>
      <c r="I10" s="162">
        <f>PRODUCT(DIVIDE(Geral!$J$17,$J$43),J10)</f>
        <v>4.090909091</v>
      </c>
      <c r="J10" s="161">
        <v>5.0</v>
      </c>
    </row>
    <row r="11">
      <c r="A11" s="161">
        <v>10.0</v>
      </c>
      <c r="B11" s="161" t="s">
        <v>175</v>
      </c>
      <c r="C11" s="162">
        <f>(Atores!$D$10 + IF(EQ(UC!D18,"Simples"),5, IF(EQ(UC!D18,"Média"),10,15))) * Fatores!$E$22 * Fatores!$G$36 * dadoshistoricos!$H$31</f>
        <v>5.46975</v>
      </c>
      <c r="D11" s="161">
        <v>1.0</v>
      </c>
      <c r="F11" s="162">
        <v>8.0</v>
      </c>
      <c r="I11" s="162">
        <f>PRODUCT(DIVIDE(Geral!$J$17,$J$43),J11)</f>
        <v>4.090909091</v>
      </c>
      <c r="J11" s="161">
        <v>5.0</v>
      </c>
    </row>
    <row r="12">
      <c r="A12" s="161">
        <v>11.0</v>
      </c>
      <c r="B12" s="161" t="s">
        <v>176</v>
      </c>
      <c r="C12" s="162">
        <f>(Atores!$D$10 + IF(EQ(UC!D19,"Simples"),5, IF(EQ(UC!D19,"Média"),10,15))) * Fatores!$E$22 * Fatores!$G$36 * dadoshistoricos!$H$31</f>
        <v>9.67725</v>
      </c>
      <c r="D12" s="161">
        <v>1.0</v>
      </c>
      <c r="F12" s="162">
        <v>5.0</v>
      </c>
      <c r="I12" s="162">
        <f>PRODUCT(DIVIDE(Geral!$J$17,$J$43),J12)</f>
        <v>4.090909091</v>
      </c>
      <c r="J12" s="161">
        <v>5.0</v>
      </c>
    </row>
    <row r="13">
      <c r="A13" s="161">
        <v>12.0</v>
      </c>
      <c r="B13" s="161" t="s">
        <v>177</v>
      </c>
      <c r="C13" s="162">
        <f>(Atores!$D$10 + IF(EQ(UC!D20,"Simples"),5, IF(EQ(UC!D20,"Média"),10,15))) * Fatores!$E$22 * Fatores!$G$36 * dadoshistoricos!$H$31</f>
        <v>5.46975</v>
      </c>
      <c r="D13" s="161">
        <v>1.0</v>
      </c>
      <c r="F13" s="162">
        <v>11.0</v>
      </c>
      <c r="I13" s="162">
        <f>PRODUCT(DIVIDE(Geral!$J$17,$J$43),J13)</f>
        <v>4.090909091</v>
      </c>
      <c r="J13" s="161">
        <v>5.0</v>
      </c>
    </row>
    <row r="14">
      <c r="A14" s="161">
        <v>13.0</v>
      </c>
      <c r="B14" s="161" t="s">
        <v>178</v>
      </c>
      <c r="C14" s="162">
        <f>(Atores!$D$10 + IF(EQ(UC!D21,"Simples"),5, IF(EQ(UC!D21,"Média"),10,15))) * Fatores!$E$22 * Fatores!$G$36 * dadoshistoricos!$H$31</f>
        <v>5.46975</v>
      </c>
      <c r="D14" s="161">
        <v>1.0</v>
      </c>
      <c r="F14" s="162">
        <v>11.0</v>
      </c>
      <c r="I14" s="162">
        <f>PRODUCT(DIVIDE(Geral!$J$17,$J$43),J14)</f>
        <v>4.090909091</v>
      </c>
      <c r="J14" s="161">
        <v>5.0</v>
      </c>
    </row>
    <row r="15">
      <c r="A15" s="161">
        <v>14.0</v>
      </c>
      <c r="B15" s="161" t="s">
        <v>179</v>
      </c>
      <c r="C15" s="162">
        <f>(Atores!$D$10 + IF(EQ(UC!D22,"Simples"),5, IF(EQ(UC!D22,"Média"),10,15))) * Fatores!$E$22 * Fatores!$G$36 * dadoshistoricos!$H$31</f>
        <v>5.46975</v>
      </c>
      <c r="D15" s="161">
        <v>1.0</v>
      </c>
      <c r="F15" s="162">
        <v>11.0</v>
      </c>
      <c r="I15" s="162">
        <f>PRODUCT(DIVIDE(Geral!$J$17,$J$43),J15)</f>
        <v>4.090909091</v>
      </c>
      <c r="J15" s="161">
        <v>5.0</v>
      </c>
    </row>
    <row r="16">
      <c r="A16" s="161">
        <v>15.0</v>
      </c>
      <c r="B16" s="161" t="s">
        <v>180</v>
      </c>
      <c r="C16" s="162">
        <f>(Atores!$D$10 + IF(EQ(UC!D23,"Simples"),5, IF(EQ(UC!D23,"Média"),10,15))) * Fatores!$E$22 * Fatores!$G$36 * dadoshistoricos!$H$31</f>
        <v>5.46975</v>
      </c>
      <c r="D16" s="161">
        <v>1.0</v>
      </c>
      <c r="F16" s="162">
        <v>12.0</v>
      </c>
      <c r="I16" s="162">
        <f>PRODUCT(DIVIDE(Geral!$J$17,$J$43),J16)</f>
        <v>4.090909091</v>
      </c>
      <c r="J16" s="161">
        <v>5.0</v>
      </c>
    </row>
    <row r="17">
      <c r="A17" s="161">
        <v>16.0</v>
      </c>
      <c r="B17" s="161" t="s">
        <v>181</v>
      </c>
      <c r="C17" s="162">
        <f>(Atores!$D$10 + IF(EQ(UC!D24,"Simples"),5, IF(EQ(UC!D24,"Média"),10,15))) * Fatores!$E$22 * Fatores!$G$36 * dadoshistoricos!$H$31</f>
        <v>5.46975</v>
      </c>
      <c r="D17" s="161">
        <v>1.0</v>
      </c>
      <c r="F17" s="162">
        <v>15.0</v>
      </c>
      <c r="I17" s="162">
        <f>PRODUCT(DIVIDE(Geral!$J$17,$J$43),J17)</f>
        <v>8.181818182</v>
      </c>
      <c r="J17" s="161">
        <v>10.0</v>
      </c>
    </row>
    <row r="18">
      <c r="A18" s="161">
        <v>17.0</v>
      </c>
      <c r="B18" s="161" t="s">
        <v>182</v>
      </c>
      <c r="C18" s="162">
        <f>(Atores!$D$10 + IF(EQ(UC!D25,"Simples"),5, IF(EQ(UC!D25,"Média"),10,15))) * Fatores!$E$22 * Fatores!$G$36 * dadoshistoricos!$H$31</f>
        <v>5.46975</v>
      </c>
      <c r="D18" s="161">
        <v>1.0</v>
      </c>
      <c r="F18" s="162">
        <v>15.0</v>
      </c>
      <c r="I18" s="162">
        <f>PRODUCT(DIVIDE(Geral!$J$17,$J$43),J18)</f>
        <v>4.090909091</v>
      </c>
      <c r="J18" s="161">
        <v>5.0</v>
      </c>
    </row>
    <row r="19">
      <c r="A19" s="161">
        <v>18.0</v>
      </c>
      <c r="B19" s="161" t="s">
        <v>183</v>
      </c>
      <c r="C19" s="162">
        <f>(Atores!$D$10 + IF(EQ(UC!D26,"Simples"),5, IF(EQ(UC!D26,"Média"),10,15))) * Fatores!$E$22 * Fatores!$G$36 * dadoshistoricos!$H$31</f>
        <v>5.46975</v>
      </c>
      <c r="D19" s="161">
        <v>1.0</v>
      </c>
      <c r="F19" s="162">
        <v>15.0</v>
      </c>
      <c r="I19" s="162">
        <f>PRODUCT(DIVIDE(Geral!$J$17,$J$43),J19)</f>
        <v>4.090909091</v>
      </c>
      <c r="J19" s="161">
        <v>5.0</v>
      </c>
    </row>
    <row r="20">
      <c r="A20" s="161">
        <v>19.0</v>
      </c>
      <c r="B20" s="161" t="s">
        <v>184</v>
      </c>
      <c r="C20" s="162">
        <f>(Atores!$D$10 + IF(EQ(UC!D27,"Simples"),5, IF(EQ(UC!D27,"Média"),10,15))) * Fatores!$E$22 * Fatores!$G$36 * dadoshistoricos!$H$31</f>
        <v>5.46975</v>
      </c>
      <c r="D20" s="161">
        <v>2.0</v>
      </c>
      <c r="F20" s="161" t="s">
        <v>185</v>
      </c>
      <c r="I20" s="162">
        <f>PRODUCT(DIVIDE(Geral!$J$17,$J$43),J20)</f>
        <v>4.090909091</v>
      </c>
      <c r="J20" s="161">
        <v>5.0</v>
      </c>
    </row>
    <row r="21">
      <c r="A21" s="161">
        <v>20.0</v>
      </c>
      <c r="B21" s="161" t="s">
        <v>186</v>
      </c>
      <c r="C21" s="162">
        <f>(Atores!$D$10 + IF(EQ(UC!D28,"Simples"),5, IF(EQ(UC!D28,"Média"),10,15))) * Fatores!$E$22 * Fatores!$G$36 * dadoshistoricos!$H$31</f>
        <v>5.46975</v>
      </c>
      <c r="D21" s="161">
        <v>1.0</v>
      </c>
      <c r="F21" s="162">
        <v>19.0</v>
      </c>
      <c r="I21" s="162">
        <f>PRODUCT(DIVIDE(Geral!$J$17,$J$43),J21)</f>
        <v>4.090909091</v>
      </c>
      <c r="J21" s="161">
        <v>5.0</v>
      </c>
    </row>
    <row r="22">
      <c r="A22" s="161">
        <v>21.0</v>
      </c>
      <c r="B22" s="161" t="s">
        <v>187</v>
      </c>
      <c r="C22" s="162">
        <f>(Atores!$D$10 + IF(EQ(UC!D29,"Simples"),5, IF(EQ(UC!D29,"Média"),10,15))) * Fatores!$E$22 * Fatores!$G$36 * dadoshistoricos!$H$31</f>
        <v>5.46975</v>
      </c>
      <c r="D22" s="161">
        <v>1.0</v>
      </c>
      <c r="F22" s="162">
        <v>20.0</v>
      </c>
      <c r="I22" s="162">
        <f>PRODUCT(DIVIDE(Geral!$J$17,$J$43),J22)</f>
        <v>4.090909091</v>
      </c>
      <c r="J22" s="161">
        <v>5.0</v>
      </c>
    </row>
    <row r="23">
      <c r="A23" s="161">
        <v>22.0</v>
      </c>
      <c r="B23" s="161" t="s">
        <v>188</v>
      </c>
      <c r="C23" s="162">
        <f>(Atores!$D$10 + IF(EQ(UC!D30,"Simples"),5, IF(EQ(UC!D30,"Média"),10,15))) * Fatores!$E$22 * Fatores!$G$36 * dadoshistoricos!$H$31</f>
        <v>5.46975</v>
      </c>
      <c r="D23" s="161">
        <v>1.0</v>
      </c>
      <c r="F23" s="162">
        <v>21.0</v>
      </c>
      <c r="I23" s="162">
        <f>PRODUCT(DIVIDE(Geral!$J$17,$J$43),J23)</f>
        <v>4.090909091</v>
      </c>
      <c r="J23" s="161">
        <v>5.0</v>
      </c>
    </row>
    <row r="24">
      <c r="A24" s="161">
        <v>23.0</v>
      </c>
      <c r="B24" s="161" t="s">
        <v>189</v>
      </c>
      <c r="C24" s="162" t="str">
        <f>(Atores!$D$10 + IF(EQ(#REF!,"Simples"),5, IF(EQ(#REF!,"Média"),10,15))) * Fatores!$E$22 * Fatores!$G$36 * dadoshistoricos!$H$31</f>
        <v>#REF!</v>
      </c>
      <c r="D24" s="161">
        <v>1.0</v>
      </c>
      <c r="F24" s="162">
        <v>6.0</v>
      </c>
      <c r="I24" s="162">
        <f>PRODUCT(DIVIDE(Geral!$J$17,$J$43),J24)</f>
        <v>4.090909091</v>
      </c>
      <c r="J24" s="161">
        <v>5.0</v>
      </c>
    </row>
    <row r="25">
      <c r="A25" s="161">
        <v>24.0</v>
      </c>
      <c r="B25" s="161" t="s">
        <v>190</v>
      </c>
      <c r="C25" s="162">
        <f>(Atores!$D$10 + IF(EQ(UC!D31,"Simples"),5, IF(EQ(UC!D31,"Média"),10,15))) * Fatores!$E$22 * Fatores!$G$36 * dadoshistoricos!$H$31</f>
        <v>5.46975</v>
      </c>
      <c r="D25" s="161">
        <v>1.0</v>
      </c>
      <c r="F25" s="162">
        <v>4.0</v>
      </c>
      <c r="I25" s="162">
        <f>PRODUCT(DIVIDE(Geral!$J$17,$J$43),J25)</f>
        <v>4.090909091</v>
      </c>
      <c r="J25" s="161">
        <v>5.0</v>
      </c>
    </row>
    <row r="26">
      <c r="A26" s="161">
        <v>25.0</v>
      </c>
      <c r="B26" s="161" t="s">
        <v>191</v>
      </c>
      <c r="C26" s="162">
        <f>(Atores!$D$10 + IF(EQ(UC!D13,"Simples"),5, IF(EQ(UC!D32,"Média"),10,15))) * Fatores!$E$22 * Fatores!$G$36 * dadoshistoricos!$H$31</f>
        <v>5.46975</v>
      </c>
      <c r="D26" s="161">
        <v>1.0</v>
      </c>
      <c r="F26" s="162">
        <v>5.0</v>
      </c>
      <c r="I26" s="162">
        <f>PRODUCT(DIVIDE(Geral!$J$17,$J$43),J26)</f>
        <v>4.090909091</v>
      </c>
      <c r="J26" s="161">
        <v>5.0</v>
      </c>
    </row>
    <row r="27">
      <c r="A27" s="161">
        <v>26.0</v>
      </c>
      <c r="B27" s="161" t="s">
        <v>192</v>
      </c>
      <c r="C27" s="162">
        <f>(Atores!$D$10 + IF(EQ(UC!D14,"Simples"),5, IF(EQ(UC!D33,"Média"),10,15))) * Fatores!$E$22 * Fatores!$G$36 * dadoshistoricos!$H$31</f>
        <v>5.46975</v>
      </c>
      <c r="D27" s="161">
        <v>1.0</v>
      </c>
      <c r="F27" s="162">
        <v>6.0</v>
      </c>
      <c r="I27" s="162">
        <f>PRODUCT(DIVIDE(Geral!$J$17,$J$43),J27)</f>
        <v>4.090909091</v>
      </c>
      <c r="J27" s="161">
        <v>5.0</v>
      </c>
    </row>
    <row r="28">
      <c r="A28" s="161">
        <v>27.0</v>
      </c>
      <c r="B28" s="161" t="s">
        <v>193</v>
      </c>
      <c r="C28" s="162">
        <f>(Atores!$D$10 + IF(EQ(UC!D15,"Simples"),5, IF(EQ(UC!D34,"Média"),10,15))) * Fatores!$E$22 * Fatores!$G$36 * dadoshistoricos!$H$31</f>
        <v>5.46975</v>
      </c>
      <c r="D28" s="161">
        <v>1.0</v>
      </c>
      <c r="F28" s="162">
        <v>7.0</v>
      </c>
      <c r="I28" s="162">
        <f>PRODUCT(DIVIDE(Geral!$J$17,$J$43),J28)</f>
        <v>4.090909091</v>
      </c>
      <c r="J28" s="161">
        <v>5.0</v>
      </c>
    </row>
    <row r="29">
      <c r="A29" s="161">
        <v>28.0</v>
      </c>
      <c r="B29" s="161" t="s">
        <v>194</v>
      </c>
      <c r="C29" s="162">
        <f>(Atores!$D$10 + IF(EQ(UC!D16,"Simples"),5, IF(EQ(UC!D35,"Média"),10,15))) * Fatores!$E$22 * Fatores!$G$36 * dadoshistoricos!$H$31</f>
        <v>5.46975</v>
      </c>
      <c r="D29" s="161">
        <v>1.0</v>
      </c>
      <c r="F29" s="162">
        <v>8.0</v>
      </c>
      <c r="I29" s="162">
        <f>PRODUCT(DIVIDE(Geral!$J$17,$J$43),J29)</f>
        <v>4.090909091</v>
      </c>
      <c r="J29" s="161">
        <v>5.0</v>
      </c>
    </row>
    <row r="30">
      <c r="A30" s="161">
        <v>29.0</v>
      </c>
      <c r="B30" s="161" t="s">
        <v>195</v>
      </c>
      <c r="C30" s="162">
        <f>(Atores!$D$10 + IF(EQ(UC!D17,"Simples"),5, IF(EQ(UC!D36,"Média"),10,15))) * Fatores!$E$22 * Fatores!$G$36 * dadoshistoricos!$H$31</f>
        <v>5.46975</v>
      </c>
      <c r="D30" s="161">
        <v>1.0</v>
      </c>
      <c r="F30" s="162">
        <v>9.0</v>
      </c>
      <c r="I30" s="162">
        <f>PRODUCT(DIVIDE(Geral!$J$17,$J$43),J30)</f>
        <v>4.090909091</v>
      </c>
      <c r="J30" s="161">
        <v>5.0</v>
      </c>
    </row>
    <row r="31">
      <c r="A31" s="161">
        <v>30.0</v>
      </c>
      <c r="B31" s="161" t="s">
        <v>196</v>
      </c>
      <c r="C31" s="162">
        <f>(Atores!$D$10 + IF(EQ(UC!D18,"Simples"),5, IF(EQ(UC!D37,"Média"),10,15))) * Fatores!$E$22 * Fatores!$G$36 * dadoshistoricos!$H$31</f>
        <v>5.46975</v>
      </c>
      <c r="D31" s="161">
        <v>1.0</v>
      </c>
      <c r="F31" s="162">
        <v>10.0</v>
      </c>
      <c r="I31" s="162">
        <f>PRODUCT(DIVIDE(Geral!$J$17,$J$43),J31)</f>
        <v>4.090909091</v>
      </c>
      <c r="J31" s="161">
        <v>5.0</v>
      </c>
    </row>
    <row r="32">
      <c r="A32" s="161">
        <v>31.0</v>
      </c>
      <c r="B32" s="161" t="s">
        <v>197</v>
      </c>
      <c r="C32" s="162">
        <f>(Atores!$D$10 + IF(EQ(UC!D19,"Simples"),5, IF(EQ(UC!D38,"Média"),10,15))) * Fatores!$E$22 * Fatores!$G$36 * dadoshistoricos!$H$31</f>
        <v>9.67725</v>
      </c>
      <c r="D32" s="161">
        <v>1.0</v>
      </c>
      <c r="F32" s="162">
        <v>19.0</v>
      </c>
      <c r="I32" s="162">
        <f>PRODUCT(DIVIDE(Geral!$J$17,$J$43),J32)</f>
        <v>4.090909091</v>
      </c>
      <c r="J32" s="161">
        <v>5.0</v>
      </c>
    </row>
    <row r="33">
      <c r="A33" s="161">
        <v>32.0</v>
      </c>
      <c r="B33" s="161" t="s">
        <v>198</v>
      </c>
      <c r="C33" s="162">
        <f>(Atores!$D$10 + IF(EQ(UC!D20,"Simples"),5, IF(EQ(UC!D39,"Média"),10,15))) * Fatores!$E$22 * Fatores!$G$36 * dadoshistoricos!$H$31</f>
        <v>5.46975</v>
      </c>
      <c r="D33" s="161">
        <v>1.0</v>
      </c>
      <c r="F33" s="162">
        <v>11.0</v>
      </c>
      <c r="I33" s="162">
        <f>PRODUCT(DIVIDE(Geral!$J$17,$J$43),J33)</f>
        <v>4.090909091</v>
      </c>
      <c r="J33" s="161">
        <v>5.0</v>
      </c>
    </row>
    <row r="34">
      <c r="A34" s="161">
        <v>33.0</v>
      </c>
      <c r="B34" s="161" t="s">
        <v>199</v>
      </c>
      <c r="C34" s="162">
        <f>(Atores!$D$10 + IF(EQ(UC!D21,"Simples"),5, IF(EQ(UC!D40,"Média"),10,15))) * Fatores!$E$22 * Fatores!$G$36 * dadoshistoricos!$H$31</f>
        <v>5.46975</v>
      </c>
      <c r="D34" s="161">
        <v>1.0</v>
      </c>
      <c r="F34" s="162">
        <v>12.0</v>
      </c>
      <c r="I34" s="162">
        <f>PRODUCT(DIVIDE(Geral!$J$17,$J$43),J34)</f>
        <v>4.090909091</v>
      </c>
      <c r="J34" s="161">
        <v>5.0</v>
      </c>
    </row>
    <row r="35">
      <c r="A35" s="161">
        <v>34.0</v>
      </c>
      <c r="B35" s="161" t="s">
        <v>200</v>
      </c>
      <c r="C35" s="162">
        <f>(Atores!$D$10 + IF(EQ(UC!D22,"Simples"),5, IF(EQ(UC!D41,"Média"),10,15))) * Fatores!$E$22 * Fatores!$G$36 * dadoshistoricos!$H$31</f>
        <v>5.46975</v>
      </c>
      <c r="D35" s="161">
        <v>1.0</v>
      </c>
      <c r="F35" s="162">
        <v>13.0</v>
      </c>
      <c r="I35" s="162">
        <f>PRODUCT(DIVIDE(Geral!$J$17,$J$43),J35)</f>
        <v>4.090909091</v>
      </c>
      <c r="J35" s="161">
        <v>5.0</v>
      </c>
    </row>
    <row r="36">
      <c r="A36" s="161">
        <v>35.0</v>
      </c>
      <c r="B36" s="161" t="s">
        <v>201</v>
      </c>
      <c r="C36" s="162">
        <f>(Atores!$D$10 + IF(EQ(UC!D23,"Simples"),5, IF(EQ(UC!D42,"Média"),10,15))) * Fatores!$E$22 * Fatores!$G$36 * dadoshistoricos!$H$31</f>
        <v>5.46975</v>
      </c>
      <c r="D36" s="161">
        <v>1.0</v>
      </c>
      <c r="F36" s="162">
        <v>14.0</v>
      </c>
      <c r="I36" s="162">
        <f>PRODUCT(DIVIDE(Geral!$J$17,$J$43),J36)</f>
        <v>4.090909091</v>
      </c>
      <c r="J36" s="161">
        <v>5.0</v>
      </c>
    </row>
    <row r="37">
      <c r="A37" s="161">
        <v>36.0</v>
      </c>
      <c r="B37" s="161" t="s">
        <v>202</v>
      </c>
      <c r="C37" s="162">
        <f>(Atores!$D$10 + IF(EQ(UC!D24,"Simples"),5, IF(EQ(UC!D43,"Média"),10,15))) * Fatores!$E$22 * Fatores!$G$36 * dadoshistoricos!$H$31</f>
        <v>5.46975</v>
      </c>
      <c r="D37" s="161">
        <v>1.0</v>
      </c>
      <c r="F37" s="162">
        <v>15.0</v>
      </c>
      <c r="I37" s="162">
        <f>PRODUCT(DIVIDE(Geral!$J$17,$J$43),J37)</f>
        <v>4.090909091</v>
      </c>
      <c r="J37" s="161">
        <v>5.0</v>
      </c>
    </row>
    <row r="38">
      <c r="A38" s="161">
        <v>37.0</v>
      </c>
      <c r="B38" s="161" t="s">
        <v>203</v>
      </c>
      <c r="C38" s="162">
        <f>(Atores!$D$10 + IF(EQ(UC!D25,"Simples"),5, IF(EQ(UC!D44,"Média"),10,15))) * Fatores!$E$22 * Fatores!$G$36 * dadoshistoricos!$H$31</f>
        <v>5.46975</v>
      </c>
      <c r="D38" s="161">
        <v>1.0</v>
      </c>
      <c r="F38" s="162">
        <v>16.0</v>
      </c>
      <c r="I38" s="162">
        <f>PRODUCT(DIVIDE(Geral!$J$17,$J$43),J38)</f>
        <v>4.090909091</v>
      </c>
      <c r="J38" s="161">
        <v>5.0</v>
      </c>
    </row>
    <row r="39">
      <c r="A39" s="161">
        <v>38.0</v>
      </c>
      <c r="B39" s="161" t="s">
        <v>204</v>
      </c>
      <c r="C39" s="162">
        <f>(Atores!$D$10 + IF(EQ(UC!D26,"Simples"),5, IF(EQ(UC!D45,"Média"),10,15))) * Fatores!$E$22 * Fatores!$G$36 * dadoshistoricos!$H$31</f>
        <v>5.46975</v>
      </c>
      <c r="D39" s="161">
        <v>1.0</v>
      </c>
      <c r="F39" s="162">
        <v>17.0</v>
      </c>
      <c r="I39" s="162">
        <f>PRODUCT(DIVIDE(Geral!$J$17,$J$43),J39)</f>
        <v>4.090909091</v>
      </c>
      <c r="J39" s="161">
        <v>5.0</v>
      </c>
    </row>
    <row r="40">
      <c r="A40" s="161">
        <v>39.0</v>
      </c>
      <c r="B40" s="161" t="s">
        <v>205</v>
      </c>
      <c r="C40" s="162">
        <f>(Atores!$D$10 + IF(EQ(UC!D27,"Simples"),5, IF(EQ(UC!D46,"Média"),10,15))) * Fatores!$E$22 * Fatores!$G$36 * dadoshistoricos!$H$31</f>
        <v>5.46975</v>
      </c>
      <c r="D40" s="161">
        <v>1.0</v>
      </c>
      <c r="F40" s="162">
        <v>18.0</v>
      </c>
      <c r="I40" s="162">
        <f>PRODUCT(DIVIDE(Geral!$J$17,$J$43),J40)</f>
        <v>4.090909091</v>
      </c>
      <c r="J40" s="161">
        <v>5.0</v>
      </c>
    </row>
    <row r="41">
      <c r="A41" s="161">
        <v>40.0</v>
      </c>
      <c r="B41" s="161" t="s">
        <v>206</v>
      </c>
      <c r="C41" s="162">
        <f>(Atores!$D$10 + IF(EQ(UC!D28,"Simples"),5, IF(EQ(UC!D47,"Média"),10,15))) * Fatores!$E$22 * Fatores!$G$36 * dadoshistoricos!$H$31</f>
        <v>5.46975</v>
      </c>
      <c r="D41" s="161">
        <v>1.0</v>
      </c>
      <c r="F41" s="162">
        <v>20.0</v>
      </c>
      <c r="I41" s="162">
        <f>PRODUCT(DIVIDE(Geral!$J$17,$J$43),J41)</f>
        <v>4.090909091</v>
      </c>
      <c r="J41" s="161">
        <v>5.0</v>
      </c>
    </row>
    <row r="42">
      <c r="A42" s="161">
        <v>41.0</v>
      </c>
      <c r="B42" s="161" t="s">
        <v>207</v>
      </c>
      <c r="C42" s="162">
        <f>(Atores!$D$10 + IF(EQ(UC!D29,"Simples"),5, IF(EQ(UC!D48,"Média"),10,15))) * Fatores!$E$22 * Fatores!$G$36 * dadoshistoricos!$H$31</f>
        <v>5.46975</v>
      </c>
      <c r="D42" s="161">
        <v>1.0</v>
      </c>
      <c r="F42" s="162">
        <v>21.0</v>
      </c>
      <c r="I42" s="162">
        <f>PRODUCT(DIVIDE(Geral!$J$17,$J$43),J42)</f>
        <v>4.090909091</v>
      </c>
      <c r="J42" s="161">
        <v>5.0</v>
      </c>
    </row>
    <row r="43">
      <c r="A43" s="161">
        <v>42.0</v>
      </c>
      <c r="B43" s="161" t="s">
        <v>208</v>
      </c>
      <c r="C43" s="162">
        <f>(Atores!$D$10 + IF(EQ(UC!D30,"Simples"),5, IF(EQ(UC!D49,"Média"),10,15))) * Fatores!$E$22 * Fatores!$G$36 * dadoshistoricos!$H$31</f>
        <v>5.46975</v>
      </c>
      <c r="D43" s="161">
        <v>1.0</v>
      </c>
      <c r="F43" s="162">
        <v>22.0</v>
      </c>
      <c r="J43" s="161">
        <f>SUM(J3:J42)</f>
        <v>220</v>
      </c>
    </row>
    <row r="44">
      <c r="A44" s="163">
        <v>44.0</v>
      </c>
      <c r="B44" s="163" t="s">
        <v>209</v>
      </c>
      <c r="C44" s="164">
        <f>(Atores!$D$10 + IF(EQ(UC!D31,"Simples"),5, IF(EQ(UC!D51,"Média"),10,15))) * Fatores!$E$22 * Fatores!$G$36 * dadoshistoricos!$H$31</f>
        <v>5.46975</v>
      </c>
      <c r="D44" s="163">
        <v>1.0</v>
      </c>
      <c r="E44" s="164"/>
      <c r="F44" s="164">
        <v>24.0</v>
      </c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</sheetData>
  <drawing r:id="rId1"/>
</worksheet>
</file>